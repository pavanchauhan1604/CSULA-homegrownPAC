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anned PDFs" sheetId="1" state="visible" r:id="rId1"/>
    <sheet xmlns:r="http://schemas.openxmlformats.org/officeDocument/2006/relationships" name="Unique PDFs" sheetId="2" state="visible" r:id="rId2"/>
    <sheet xmlns:r="http://schemas.openxmlformats.org/officeDocument/2006/relationships" name="Grouped by PDF URL" sheetId="3" state="visible" r:id="rId3"/>
    <sheet xmlns:r="http://schemas.openxmlformats.org/officeDocument/2006/relationships" name="Grouped by Parent URL" sheetId="4" state="visible" r:id="rId4"/>
    <sheet xmlns:r="http://schemas.openxmlformats.org/officeDocument/2006/relationships" name="Failure" sheetId="5" state="visible" r:id="rId5"/>
    <sheet xmlns:r="http://schemas.openxmlformats.org/officeDocument/2006/relationships" name="Instructions" sheetId="6" state="visible" r:id="rId6"/>
    <sheet xmlns:r="http://schemas.openxmlformats.org/officeDocument/2006/relationships" name="Sheet"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font>
  </fonts>
  <fills count="3">
    <fill>
      <patternFill/>
    </fill>
    <fill>
      <patternFill patternType="gray125"/>
    </fill>
    <fill>
      <patternFill patternType="solid">
        <fgColor rgb="00FF9999"/>
        <bgColor rgb="00FF9999"/>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2" borderId="0" pivotButton="0" quotePrefix="0" xfId="0"/>
    <xf numFmtId="0" fontId="1" fillId="2" borderId="0" pivotButton="0" quotePrefix="0" xfId="0"/>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DataTable" displayName="DataTable" ref="A1:V79" headerRowCount="1">
  <autoFilter ref="A1:V79"/>
  <tableColumns count="22">
    <tableColumn id="1" name="pdf_title"/>
    <tableColumn id="2" name="pdf_uri"/>
    <tableColumn id="3" name="parent_uri"/>
    <tableColumn id="4" name="scanned_date"/>
    <tableColumn id="5" name="fingerprint"/>
    <tableColumn id="6" name="domain_name"/>
    <tableColumn id="7" name="security_group_name"/>
    <tableColumn id="8" name="drupal_site_id"/>
    <tableColumn id="9" name="violations"/>
    <tableColumn id="10" name="failed_checks"/>
    <tableColumn id="11" name="tagged"/>
    <tableColumn id="12" name="pdf_text_type"/>
    <tableColumn id="13" name="title_set"/>
    <tableColumn id="14" name="language_set"/>
    <tableColumn id="15" name="page_count"/>
    <tableColumn id="16" name="has_form"/>
    <tableColumn id="17" name="approved_pdf_exporter"/>
    <tableColumn id="18" name="parent_returns_404"/>
    <tableColumn id="19" name="pdf_returns_404"/>
    <tableColumn id="20" name="Errors/Page"/>
    <tableColumn id="21" name="Low Priority"/>
    <tableColumn id="22" name="DPRC Will Remediate"/>
  </tableColumns>
  <tableStyleInfo name="TableStyleMedium9" showFirstColumn="0" showLastColumn="0" showRowStripes="1" showColumnStripes="1"/>
</table>
</file>

<file path=xl/tables/table2.xml><?xml version="1.0" encoding="utf-8"?>
<table xmlns="http://schemas.openxmlformats.org/spreadsheetml/2006/main" id="2" name="UniquePdfTable" displayName="UniquePdfTable" ref="A1:V11" headerRowCount="1">
  <autoFilter ref="A1:V11"/>
  <tableColumns count="22">
    <tableColumn id="1" name="pdf_title"/>
    <tableColumn id="2" name="pdf_uri"/>
    <tableColumn id="3" name="parent_uri"/>
    <tableColumn id="4" name="scanned_date"/>
    <tableColumn id="5" name="fingerprint"/>
    <tableColumn id="6" name="domain_name"/>
    <tableColumn id="7" name="security_group_name"/>
    <tableColumn id="8" name="drupal_site_id"/>
    <tableColumn id="9" name="violations"/>
    <tableColumn id="10" name="failed_checks"/>
    <tableColumn id="11" name="tagged"/>
    <tableColumn id="12" name="pdf_text_type"/>
    <tableColumn id="13" name="title_set"/>
    <tableColumn id="14" name="language_set"/>
    <tableColumn id="15" name="page_count"/>
    <tableColumn id="16" name="has_form"/>
    <tableColumn id="17" name="approved_pdf_exporter"/>
    <tableColumn id="18" name="parent_returns_404"/>
    <tableColumn id="19" name="pdf_returns_404"/>
    <tableColumn id="20" name="Errors/Page"/>
    <tableColumn id="21" name="Low Priority"/>
    <tableColumn id="22" name="DPRC Will Remediate"/>
  </tableColumns>
  <tableStyleInfo name="TableStyleMedium9" showFirstColumn="0" showLastColumn="0" showRowStripes="1" showColumnStripes="1"/>
</table>
</file>

<file path=xl/tables/table3.xml><?xml version="1.0" encoding="utf-8"?>
<table xmlns="http://schemas.openxmlformats.org/spreadsheetml/2006/main" id="3" name="GroupedByPdfTable" displayName="GroupedByPdfTable" ref="A1:V79" headerRowCount="1">
  <autoFilter ref="A1:V79"/>
  <tableColumns count="22">
    <tableColumn id="1" name="pdf_title"/>
    <tableColumn id="2" name="pdf_uri"/>
    <tableColumn id="3" name="parent_uri"/>
    <tableColumn id="4" name="scanned_date"/>
    <tableColumn id="5" name="fingerprint"/>
    <tableColumn id="6" name="domain_name"/>
    <tableColumn id="7" name="security_group_name"/>
    <tableColumn id="8" name="drupal_site_id"/>
    <tableColumn id="9" name="violations"/>
    <tableColumn id="10" name="failed_checks"/>
    <tableColumn id="11" name="tagged"/>
    <tableColumn id="12" name="pdf_text_type"/>
    <tableColumn id="13" name="title_set"/>
    <tableColumn id="14" name="language_set"/>
    <tableColumn id="15" name="page_count"/>
    <tableColumn id="16" name="has_form"/>
    <tableColumn id="17" name="approved_pdf_exporter"/>
    <tableColumn id="18" name="parent_returns_404"/>
    <tableColumn id="19" name="pdf_returns_404"/>
    <tableColumn id="20" name="Errors/Page"/>
    <tableColumn id="21" name="Low Priority"/>
    <tableColumn id="22" name="DPRC Will Remediate"/>
  </tableColumns>
  <tableStyleInfo name="TableStyleMedium9" showFirstColumn="0" showLastColumn="0" showRowStripes="1" showColumnStripes="1"/>
</table>
</file>

<file path=xl/tables/table4.xml><?xml version="1.0" encoding="utf-8"?>
<table xmlns="http://schemas.openxmlformats.org/spreadsheetml/2006/main" id="4" name="GroupedByParentTable" displayName="GroupedByParentTable" ref="A1:V79" headerRowCount="1">
  <autoFilter ref="A1:V79"/>
  <tableColumns count="22">
    <tableColumn id="1" name="pdf_title"/>
    <tableColumn id="2" name="pdf_uri"/>
    <tableColumn id="3" name="parent_uri"/>
    <tableColumn id="4" name="scanned_date"/>
    <tableColumn id="5" name="fingerprint"/>
    <tableColumn id="6" name="domain_name"/>
    <tableColumn id="7" name="security_group_name"/>
    <tableColumn id="8" name="drupal_site_id"/>
    <tableColumn id="9" name="violations"/>
    <tableColumn id="10" name="failed_checks"/>
    <tableColumn id="11" name="tagged"/>
    <tableColumn id="12" name="pdf_text_type"/>
    <tableColumn id="13" name="title_set"/>
    <tableColumn id="14" name="language_set"/>
    <tableColumn id="15" name="page_count"/>
    <tableColumn id="16" name="has_form"/>
    <tableColumn id="17" name="approved_pdf_exporter"/>
    <tableColumn id="18" name="parent_returns_404"/>
    <tableColumn id="19" name="pdf_returns_404"/>
    <tableColumn id="20" name="Errors/Page"/>
    <tableColumn id="21" name="Low Priority"/>
    <tableColumn id="22" name="DPRC Will Remediate"/>
  </tableColumns>
  <tableStyleInfo name="TableStyleMedium9" showFirstColumn="0" showLastColumn="0" showRowStripes="1" showColumnStripes="1"/>
</table>
</file>

<file path=xl/tables/table5.xml><?xml version="1.0" encoding="utf-8"?>
<table xmlns="http://schemas.openxmlformats.org/spreadsheetml/2006/main" id="5" name="FailureDataTable" displayName="FailureDataTable" ref="A1:E4" headerRowCount="1">
  <autoFilter ref="A1:E4"/>
  <tableColumns count="5">
    <tableColumn id="1" name="site_id"/>
    <tableColumn id="2" name="error_date"/>
    <tableColumn id="3" name="error_message"/>
    <tableColumn id="4" name="pdf_uri"/>
    <tableColumn id="5" name="parent_uri"/>
  </tableColumns>
  <tableStyleInfo name="TableStyleMedium9" showFirstColumn="0"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sheetPr>
  <dimension ref="A1:V79"/>
  <sheetViews>
    <sheetView workbookViewId="0">
      <selection activeCell="A1" sqref="A1"/>
    </sheetView>
  </sheetViews>
  <sheetFormatPr baseColWidth="8" defaultRowHeight="15"/>
  <sheetData>
    <row r="1">
      <c r="A1" t="inlineStr">
        <is>
          <t>pdf_title</t>
        </is>
      </c>
      <c r="B1" t="inlineStr">
        <is>
          <t>pdf_uri</t>
        </is>
      </c>
      <c r="C1" t="inlineStr">
        <is>
          <t>parent_uri</t>
        </is>
      </c>
      <c r="D1" t="inlineStr">
        <is>
          <t>scanned_date</t>
        </is>
      </c>
      <c r="E1" t="inlineStr">
        <is>
          <t>fingerprint</t>
        </is>
      </c>
      <c r="F1" t="inlineStr">
        <is>
          <t>domain_name</t>
        </is>
      </c>
      <c r="G1" t="inlineStr">
        <is>
          <t>security_group_name</t>
        </is>
      </c>
      <c r="H1" t="inlineStr">
        <is>
          <t>drupal_site_id</t>
        </is>
      </c>
      <c r="I1" t="inlineStr">
        <is>
          <t>violations</t>
        </is>
      </c>
      <c r="J1" t="inlineStr">
        <is>
          <t>failed_checks</t>
        </is>
      </c>
      <c r="K1" t="inlineStr">
        <is>
          <t>tagged</t>
        </is>
      </c>
      <c r="L1" t="inlineStr">
        <is>
          <t>pdf_text_type</t>
        </is>
      </c>
      <c r="M1" t="inlineStr">
        <is>
          <t>title_set</t>
        </is>
      </c>
      <c r="N1" t="inlineStr">
        <is>
          <t>language_set</t>
        </is>
      </c>
      <c r="O1" t="inlineStr">
        <is>
          <t>page_count</t>
        </is>
      </c>
      <c r="P1" t="inlineStr">
        <is>
          <t>has_form</t>
        </is>
      </c>
      <c r="Q1" t="inlineStr">
        <is>
          <t>approved_pdf_exporter</t>
        </is>
      </c>
      <c r="R1" t="inlineStr">
        <is>
          <t>parent_returns_404</t>
        </is>
      </c>
      <c r="S1" t="inlineStr">
        <is>
          <t>pdf_returns_404</t>
        </is>
      </c>
      <c r="T1" t="inlineStr">
        <is>
          <t>Errors/Page</t>
        </is>
      </c>
      <c r="U1" t="inlineStr">
        <is>
          <t>Low Priority</t>
        </is>
      </c>
      <c r="V1" t="inlineStr">
        <is>
          <t>DPRC Will Remediate</t>
        </is>
      </c>
    </row>
    <row r="2">
      <c r="A2" t="inlineStr">
        <is>
          <t>2025 Annual Security Report</t>
        </is>
      </c>
      <c r="B2" s="1">
        <f>HYPERLINK("https://www.calstatela.edu/sites/default/files/2025%20Annual%20Security%20Report.pdf", "https://www.calstatela.edu/sites/default/files/2025%20Annual%20Security%20Report.pdf")</f>
        <v/>
      </c>
      <c r="C2" s="1">
        <f>HYPERLINK("https://www.calstatela.edu/studenthealthcenter", "https://www.calstatela.edu/studenthealthcenter")</f>
        <v/>
      </c>
      <c r="D2" t="inlineStr">
        <is>
          <t>2026-02-05 20:38:01</t>
        </is>
      </c>
      <c r="E2" t="inlineStr">
        <is>
          <t>d35aba</t>
        </is>
      </c>
      <c r="F2" t="inlineStr">
        <is>
          <t>calstatela.edu_studenthealthcenter</t>
        </is>
      </c>
      <c r="G2" t="inlineStr">
        <is>
          <t>CSULA-content-manager_eop</t>
        </is>
      </c>
      <c r="H2" t="n">
        <v>1</v>
      </c>
      <c r="I2" t="n">
        <v>4</v>
      </c>
      <c r="J2" t="inlineStr">
        <is>
          <t>No</t>
        </is>
      </c>
      <c r="K2" t="n">
        <v>1</v>
      </c>
      <c r="L2" t="inlineStr">
        <is>
          <t>No</t>
        </is>
      </c>
      <c r="M2" t="inlineStr">
        <is>
          <t>Yes</t>
        </is>
      </c>
      <c r="N2" t="n">
        <v>1</v>
      </c>
      <c r="O2" t="inlineStr">
        <is>
          <t>No</t>
        </is>
      </c>
      <c r="P2" t="n">
        <v>0</v>
      </c>
      <c r="R2" t="n">
        <v>0</v>
      </c>
      <c r="S2" t="n">
        <v>0</v>
      </c>
      <c r="T2" t="n">
        <v>4</v>
      </c>
      <c r="U2" t="inlineStr">
        <is>
          <t>Yes</t>
        </is>
      </c>
      <c r="V2" t="inlineStr">
        <is>
          <t>No</t>
        </is>
      </c>
    </row>
    <row r="3">
      <c r="A3" t="inlineStr">
        <is>
          <t>2026 Campus Safety Plan</t>
        </is>
      </c>
      <c r="B3" s="1">
        <f>HYPERLINK("https://www.calstatela.edu/sites/default/files/2026%20Campus%20Safety%20Plan.pdf", "https://www.calstatela.edu/sites/default/files/2026%20Campus%20Safety%20Plan.pdf")</f>
        <v/>
      </c>
      <c r="C3" s="1">
        <f>HYPERLINK("https://www.calstatela.edu/studenthealthcenter", "https://www.calstatela.edu/studenthealthcenter")</f>
        <v/>
      </c>
      <c r="D3" t="inlineStr">
        <is>
          <t>2026-02-05 20:38:10</t>
        </is>
      </c>
      <c r="E3" t="inlineStr">
        <is>
          <t>69529a</t>
        </is>
      </c>
      <c r="F3" t="inlineStr">
        <is>
          <t>calstatela.edu_studenthealthcenter</t>
        </is>
      </c>
      <c r="G3" t="inlineStr">
        <is>
          <t>CSULA-content-manager_eop</t>
        </is>
      </c>
      <c r="H3" t="n">
        <v>1</v>
      </c>
      <c r="I3" t="n">
        <v>2</v>
      </c>
      <c r="J3" t="inlineStr">
        <is>
          <t>No</t>
        </is>
      </c>
      <c r="K3" t="n">
        <v>1</v>
      </c>
      <c r="L3" t="inlineStr">
        <is>
          <t>No</t>
        </is>
      </c>
      <c r="M3" t="inlineStr">
        <is>
          <t>Yes</t>
        </is>
      </c>
      <c r="N3" t="n">
        <v>1</v>
      </c>
      <c r="O3" t="inlineStr">
        <is>
          <t>No</t>
        </is>
      </c>
      <c r="P3" t="n">
        <v>0</v>
      </c>
      <c r="R3" t="n">
        <v>0</v>
      </c>
      <c r="S3" t="n">
        <v>0</v>
      </c>
      <c r="T3" t="n">
        <v>2</v>
      </c>
      <c r="U3" t="inlineStr">
        <is>
          <t>Yes</t>
        </is>
      </c>
      <c r="V3" t="inlineStr">
        <is>
          <t>No</t>
        </is>
      </c>
    </row>
    <row r="4">
      <c r="A4" s="2" t="inlineStr">
        <is>
          <t>authorization to release phi 081419</t>
        </is>
      </c>
      <c r="B4" s="3">
        <f>HYPERLINK("https://www.calstatela.edu/sites/default/files/authorization_to_release_phi_081419.pdf", "https://www.calstatela.edu/sites/default/files/authorization_to_release_phi_081419.pdf")</f>
        <v/>
      </c>
      <c r="C4" s="3">
        <f>HYPERLINK("https://www.calstatela.edu/studenthealthcenter/forms", "https://www.calstatela.edu/studenthealthcenter/forms")</f>
        <v/>
      </c>
      <c r="D4" s="2" t="inlineStr">
        <is>
          <t>2026-02-05 20:38:16</t>
        </is>
      </c>
      <c r="E4" s="2" t="inlineStr">
        <is>
          <t>9f4c3b</t>
        </is>
      </c>
      <c r="F4" s="2" t="inlineStr">
        <is>
          <t>calstatela.edu_studenthealthcenter</t>
        </is>
      </c>
      <c r="G4" s="2" t="inlineStr">
        <is>
          <t>CSULA-content-manager_eop</t>
        </is>
      </c>
      <c r="H4" s="2" t="n">
        <v>1</v>
      </c>
      <c r="I4" s="2" t="n">
        <v>2</v>
      </c>
      <c r="J4" s="2" t="inlineStr">
        <is>
          <t>No</t>
        </is>
      </c>
      <c r="K4" s="2" t="n">
        <v>1</v>
      </c>
      <c r="L4" s="2" t="inlineStr">
        <is>
          <t>No</t>
        </is>
      </c>
      <c r="M4" s="2" t="inlineStr">
        <is>
          <t>Yes</t>
        </is>
      </c>
      <c r="N4" s="2" t="n">
        <v>1</v>
      </c>
      <c r="O4" s="2" t="inlineStr">
        <is>
          <t>No</t>
        </is>
      </c>
      <c r="P4" s="2" t="n">
        <v>0</v>
      </c>
      <c r="Q4" s="2" t="n"/>
      <c r="R4" s="2" t="n">
        <v>0</v>
      </c>
      <c r="S4" s="2" t="n">
        <v>0</v>
      </c>
      <c r="T4" s="2" t="n">
        <v>2</v>
      </c>
      <c r="U4" s="2" t="inlineStr">
        <is>
          <t>No</t>
        </is>
      </c>
      <c r="V4" s="2" t="inlineStr">
        <is>
          <t>No</t>
        </is>
      </c>
    </row>
    <row r="5">
      <c r="A5" t="inlineStr">
        <is>
          <t>2025 Annual Security Report</t>
        </is>
      </c>
      <c r="B5" s="1">
        <f>HYPERLINK("https://www.calstatela.edu/sites/default/files/2025%20Annual%20Security%20Report.pdf", "https://www.calstatela.edu/sites/default/files/2025%20Annual%20Security%20Report.pdf")</f>
        <v/>
      </c>
      <c r="C5" s="1">
        <f>HYPERLINK("https://www.calstatela.edu/studenthealthcenter/forms", "https://www.calstatela.edu/studenthealthcenter/forms")</f>
        <v/>
      </c>
      <c r="D5" t="inlineStr">
        <is>
          <t>2026-02-05 20:38:16</t>
        </is>
      </c>
      <c r="E5" t="inlineStr">
        <is>
          <t>d35aba</t>
        </is>
      </c>
      <c r="F5" t="inlineStr">
        <is>
          <t>calstatela.edu_studenthealthcenter</t>
        </is>
      </c>
      <c r="G5" t="inlineStr">
        <is>
          <t>CSULA-content-manager_eop</t>
        </is>
      </c>
      <c r="H5" t="n">
        <v>1</v>
      </c>
      <c r="I5" t="n">
        <v>4</v>
      </c>
      <c r="J5" t="inlineStr">
        <is>
          <t>No</t>
        </is>
      </c>
      <c r="K5" t="n">
        <v>1</v>
      </c>
      <c r="L5" t="inlineStr">
        <is>
          <t>No</t>
        </is>
      </c>
      <c r="M5" t="inlineStr">
        <is>
          <t>Yes</t>
        </is>
      </c>
      <c r="N5" t="n">
        <v>1</v>
      </c>
      <c r="O5" t="inlineStr">
        <is>
          <t>No</t>
        </is>
      </c>
      <c r="P5" t="n">
        <v>0</v>
      </c>
      <c r="R5" t="n">
        <v>0</v>
      </c>
      <c r="S5" t="n">
        <v>0</v>
      </c>
      <c r="T5" t="n">
        <v>4</v>
      </c>
      <c r="U5" t="inlineStr">
        <is>
          <t>Yes</t>
        </is>
      </c>
      <c r="V5" t="inlineStr">
        <is>
          <t>No</t>
        </is>
      </c>
    </row>
    <row r="6">
      <c r="A6" t="inlineStr">
        <is>
          <t>2026 Campus Safety Plan</t>
        </is>
      </c>
      <c r="B6" s="1">
        <f>HYPERLINK("https://www.calstatela.edu/sites/default/files/2026%20Campus%20Safety%20Plan.pdf", "https://www.calstatela.edu/sites/default/files/2026%20Campus%20Safety%20Plan.pdf")</f>
        <v/>
      </c>
      <c r="C6" s="1">
        <f>HYPERLINK("https://www.calstatela.edu/studenthealthcenter/forms", "https://www.calstatela.edu/studenthealthcenter/forms")</f>
        <v/>
      </c>
      <c r="D6" t="inlineStr">
        <is>
          <t>2026-02-05 20:38:16</t>
        </is>
      </c>
      <c r="E6" t="inlineStr">
        <is>
          <t>69529a</t>
        </is>
      </c>
      <c r="F6" t="inlineStr">
        <is>
          <t>calstatela.edu_studenthealthcenter</t>
        </is>
      </c>
      <c r="G6" t="inlineStr">
        <is>
          <t>CSULA-content-manager_eop</t>
        </is>
      </c>
      <c r="H6" t="n">
        <v>1</v>
      </c>
      <c r="I6" t="n">
        <v>2</v>
      </c>
      <c r="J6" t="inlineStr">
        <is>
          <t>No</t>
        </is>
      </c>
      <c r="K6" t="n">
        <v>1</v>
      </c>
      <c r="L6" t="inlineStr">
        <is>
          <t>No</t>
        </is>
      </c>
      <c r="M6" t="inlineStr">
        <is>
          <t>Yes</t>
        </is>
      </c>
      <c r="N6" t="n">
        <v>1</v>
      </c>
      <c r="O6" t="inlineStr">
        <is>
          <t>No</t>
        </is>
      </c>
      <c r="P6" t="n">
        <v>0</v>
      </c>
      <c r="R6" t="n">
        <v>0</v>
      </c>
      <c r="S6" t="n">
        <v>0</v>
      </c>
      <c r="T6" t="n">
        <v>2</v>
      </c>
      <c r="U6" t="inlineStr">
        <is>
          <t>Yes</t>
        </is>
      </c>
      <c r="V6" t="inlineStr">
        <is>
          <t>No</t>
        </is>
      </c>
    </row>
    <row r="7">
      <c r="A7" t="inlineStr">
        <is>
          <t>2025 Annual Security Report</t>
        </is>
      </c>
      <c r="B7" s="1">
        <f>HYPERLINK("https://www.calstatela.edu/sites/default/files/2025%20Annual%20Security%20Report.pdf", "https://www.calstatela.edu/sites/default/files/2025%20Annual%20Security%20Report.pdf")</f>
        <v/>
      </c>
      <c r="C7" s="1">
        <f>HYPERLINK("https://www.calstatela.edu/studenthealthcenter/family-planning", "https://www.calstatela.edu/studenthealthcenter/family-planning")</f>
        <v/>
      </c>
      <c r="D7" t="inlineStr">
        <is>
          <t>2026-02-05 20:38:16</t>
        </is>
      </c>
      <c r="E7" t="inlineStr">
        <is>
          <t>d35aba</t>
        </is>
      </c>
      <c r="F7" t="inlineStr">
        <is>
          <t>calstatela.edu_studenthealthcenter</t>
        </is>
      </c>
      <c r="G7" t="inlineStr">
        <is>
          <t>CSULA-content-manager_eop</t>
        </is>
      </c>
      <c r="H7" t="n">
        <v>1</v>
      </c>
      <c r="I7" t="n">
        <v>4</v>
      </c>
      <c r="J7" t="inlineStr">
        <is>
          <t>No</t>
        </is>
      </c>
      <c r="K7" t="n">
        <v>1</v>
      </c>
      <c r="L7" t="inlineStr">
        <is>
          <t>No</t>
        </is>
      </c>
      <c r="M7" t="inlineStr">
        <is>
          <t>Yes</t>
        </is>
      </c>
      <c r="N7" t="n">
        <v>1</v>
      </c>
      <c r="O7" t="inlineStr">
        <is>
          <t>No</t>
        </is>
      </c>
      <c r="P7" t="n">
        <v>0</v>
      </c>
      <c r="R7" t="n">
        <v>0</v>
      </c>
      <c r="S7" t="n">
        <v>0</v>
      </c>
      <c r="T7" t="n">
        <v>4</v>
      </c>
      <c r="U7" t="inlineStr">
        <is>
          <t>Yes</t>
        </is>
      </c>
      <c r="V7" t="inlineStr">
        <is>
          <t>No</t>
        </is>
      </c>
    </row>
    <row r="8">
      <c r="A8" t="inlineStr">
        <is>
          <t>2026 Campus Safety Plan</t>
        </is>
      </c>
      <c r="B8" s="1">
        <f>HYPERLINK("https://www.calstatela.edu/sites/default/files/2026%20Campus%20Safety%20Plan.pdf", "https://www.calstatela.edu/sites/default/files/2026%20Campus%20Safety%20Plan.pdf")</f>
        <v/>
      </c>
      <c r="C8" s="1">
        <f>HYPERLINK("https://www.calstatela.edu/studenthealthcenter/family-planning", "https://www.calstatela.edu/studenthealthcenter/family-planning")</f>
        <v/>
      </c>
      <c r="D8" t="inlineStr">
        <is>
          <t>2026-02-05 20:38:16</t>
        </is>
      </c>
      <c r="E8" t="inlineStr">
        <is>
          <t>69529a</t>
        </is>
      </c>
      <c r="F8" t="inlineStr">
        <is>
          <t>calstatela.edu_studenthealthcenter</t>
        </is>
      </c>
      <c r="G8" t="inlineStr">
        <is>
          <t>CSULA-content-manager_eop</t>
        </is>
      </c>
      <c r="H8" t="n">
        <v>1</v>
      </c>
      <c r="I8" t="n">
        <v>2</v>
      </c>
      <c r="J8" t="inlineStr">
        <is>
          <t>No</t>
        </is>
      </c>
      <c r="K8" t="n">
        <v>1</v>
      </c>
      <c r="L8" t="inlineStr">
        <is>
          <t>No</t>
        </is>
      </c>
      <c r="M8" t="inlineStr">
        <is>
          <t>Yes</t>
        </is>
      </c>
      <c r="N8" t="n">
        <v>1</v>
      </c>
      <c r="O8" t="inlineStr">
        <is>
          <t>No</t>
        </is>
      </c>
      <c r="P8" t="n">
        <v>0</v>
      </c>
      <c r="R8" t="n">
        <v>0</v>
      </c>
      <c r="S8" t="n">
        <v>0</v>
      </c>
      <c r="T8" t="n">
        <v>2</v>
      </c>
      <c r="U8" t="inlineStr">
        <is>
          <t>Yes</t>
        </is>
      </c>
      <c r="V8" t="inlineStr">
        <is>
          <t>No</t>
        </is>
      </c>
    </row>
    <row r="9">
      <c r="A9" t="inlineStr">
        <is>
          <t>2025 Annual Security Report</t>
        </is>
      </c>
      <c r="B9" s="1">
        <f>HYPERLINK("https://www.calstatela.edu/sites/default/files/2025%20Annual%20Security%20Report.pdf", "https://www.calstatela.edu/sites/default/files/2025%20Annual%20Security%20Report.pdf")</f>
        <v/>
      </c>
      <c r="C9" s="1">
        <f>HYPERLINK("https://www.calstatela.edu/studenthealthcenter/health-education", "https://www.calstatela.edu/studenthealthcenter/health-education")</f>
        <v/>
      </c>
      <c r="D9" t="inlineStr">
        <is>
          <t>2026-02-05 20:38:16</t>
        </is>
      </c>
      <c r="E9" t="inlineStr">
        <is>
          <t>d35aba</t>
        </is>
      </c>
      <c r="F9" t="inlineStr">
        <is>
          <t>calstatela.edu_studenthealthcenter</t>
        </is>
      </c>
      <c r="G9" t="inlineStr">
        <is>
          <t>CSULA-content-manager_eop</t>
        </is>
      </c>
      <c r="H9" t="n">
        <v>1</v>
      </c>
      <c r="I9" t="n">
        <v>4</v>
      </c>
      <c r="J9" t="inlineStr">
        <is>
          <t>No</t>
        </is>
      </c>
      <c r="K9" t="n">
        <v>1</v>
      </c>
      <c r="L9" t="inlineStr">
        <is>
          <t>No</t>
        </is>
      </c>
      <c r="M9" t="inlineStr">
        <is>
          <t>Yes</t>
        </is>
      </c>
      <c r="N9" t="n">
        <v>1</v>
      </c>
      <c r="O9" t="inlineStr">
        <is>
          <t>No</t>
        </is>
      </c>
      <c r="P9" t="n">
        <v>0</v>
      </c>
      <c r="R9" t="n">
        <v>0</v>
      </c>
      <c r="S9" t="n">
        <v>0</v>
      </c>
      <c r="T9" t="n">
        <v>4</v>
      </c>
      <c r="U9" t="inlineStr">
        <is>
          <t>Yes</t>
        </is>
      </c>
      <c r="V9" t="inlineStr">
        <is>
          <t>No</t>
        </is>
      </c>
    </row>
    <row r="10">
      <c r="A10" t="inlineStr">
        <is>
          <t>2026 Campus Safety Plan</t>
        </is>
      </c>
      <c r="B10" s="1">
        <f>HYPERLINK("https://www.calstatela.edu/sites/default/files/2026%20Campus%20Safety%20Plan.pdf", "https://www.calstatela.edu/sites/default/files/2026%20Campus%20Safety%20Plan.pdf")</f>
        <v/>
      </c>
      <c r="C10" s="1">
        <f>HYPERLINK("https://www.calstatela.edu/studenthealthcenter/health-education", "https://www.calstatela.edu/studenthealthcenter/health-education")</f>
        <v/>
      </c>
      <c r="D10" t="inlineStr">
        <is>
          <t>2026-02-05 20:38:16</t>
        </is>
      </c>
      <c r="E10" t="inlineStr">
        <is>
          <t>69529a</t>
        </is>
      </c>
      <c r="F10" t="inlineStr">
        <is>
          <t>calstatela.edu_studenthealthcenter</t>
        </is>
      </c>
      <c r="G10" t="inlineStr">
        <is>
          <t>CSULA-content-manager_eop</t>
        </is>
      </c>
      <c r="H10" t="n">
        <v>1</v>
      </c>
      <c r="I10" t="n">
        <v>2</v>
      </c>
      <c r="J10" t="inlineStr">
        <is>
          <t>No</t>
        </is>
      </c>
      <c r="K10" t="n">
        <v>1</v>
      </c>
      <c r="L10" t="inlineStr">
        <is>
          <t>No</t>
        </is>
      </c>
      <c r="M10" t="inlineStr">
        <is>
          <t>Yes</t>
        </is>
      </c>
      <c r="N10" t="n">
        <v>1</v>
      </c>
      <c r="O10" t="inlineStr">
        <is>
          <t>No</t>
        </is>
      </c>
      <c r="P10" t="n">
        <v>0</v>
      </c>
      <c r="R10" t="n">
        <v>0</v>
      </c>
      <c r="S10" t="n">
        <v>0</v>
      </c>
      <c r="T10" t="n">
        <v>2</v>
      </c>
      <c r="U10" t="inlineStr">
        <is>
          <t>Yes</t>
        </is>
      </c>
      <c r="V10" t="inlineStr">
        <is>
          <t>No</t>
        </is>
      </c>
    </row>
    <row r="11">
      <c r="A11" t="inlineStr">
        <is>
          <t>2025 Annual Security Report</t>
        </is>
      </c>
      <c r="B11" s="1">
        <f>HYPERLINK("https://www.calstatela.edu/sites/default/files/2025%20Annual%20Security%20Report.pdf", "https://www.calstatela.edu/sites/default/files/2025%20Annual%20Security%20Report.pdf")</f>
        <v/>
      </c>
      <c r="C11" s="1">
        <f>HYPERLINK("https://www.calstatela.edu/studenthealthcenter/patient-portal", "https://www.calstatela.edu/studenthealthcenter/patient-portal")</f>
        <v/>
      </c>
      <c r="D11" t="inlineStr">
        <is>
          <t>2026-02-05 20:38:16</t>
        </is>
      </c>
      <c r="E11" t="inlineStr">
        <is>
          <t>d35aba</t>
        </is>
      </c>
      <c r="F11" t="inlineStr">
        <is>
          <t>calstatela.edu_studenthealthcenter</t>
        </is>
      </c>
      <c r="G11" t="inlineStr">
        <is>
          <t>CSULA-content-manager_eop</t>
        </is>
      </c>
      <c r="H11" t="n">
        <v>1</v>
      </c>
      <c r="I11" t="n">
        <v>4</v>
      </c>
      <c r="J11" t="inlineStr">
        <is>
          <t>No</t>
        </is>
      </c>
      <c r="K11" t="n">
        <v>1</v>
      </c>
      <c r="L11" t="inlineStr">
        <is>
          <t>No</t>
        </is>
      </c>
      <c r="M11" t="inlineStr">
        <is>
          <t>Yes</t>
        </is>
      </c>
      <c r="N11" t="n">
        <v>1</v>
      </c>
      <c r="O11" t="inlineStr">
        <is>
          <t>No</t>
        </is>
      </c>
      <c r="P11" t="n">
        <v>0</v>
      </c>
      <c r="R11" t="n">
        <v>0</v>
      </c>
      <c r="S11" t="n">
        <v>0</v>
      </c>
      <c r="T11" t="n">
        <v>4</v>
      </c>
      <c r="U11" t="inlineStr">
        <is>
          <t>Yes</t>
        </is>
      </c>
      <c r="V11" t="inlineStr">
        <is>
          <t>No</t>
        </is>
      </c>
    </row>
    <row r="12">
      <c r="A12" t="inlineStr">
        <is>
          <t>2026 Campus Safety Plan</t>
        </is>
      </c>
      <c r="B12" s="1">
        <f>HYPERLINK("https://www.calstatela.edu/sites/default/files/2026%20Campus%20Safety%20Plan.pdf", "https://www.calstatela.edu/sites/default/files/2026%20Campus%20Safety%20Plan.pdf")</f>
        <v/>
      </c>
      <c r="C12" s="1">
        <f>HYPERLINK("https://www.calstatela.edu/studenthealthcenter/patient-portal", "https://www.calstatela.edu/studenthealthcenter/patient-portal")</f>
        <v/>
      </c>
      <c r="D12" t="inlineStr">
        <is>
          <t>2026-02-05 20:38:16</t>
        </is>
      </c>
      <c r="E12" t="inlineStr">
        <is>
          <t>69529a</t>
        </is>
      </c>
      <c r="F12" t="inlineStr">
        <is>
          <t>calstatela.edu_studenthealthcenter</t>
        </is>
      </c>
      <c r="G12" t="inlineStr">
        <is>
          <t>CSULA-content-manager_eop</t>
        </is>
      </c>
      <c r="H12" t="n">
        <v>1</v>
      </c>
      <c r="I12" t="n">
        <v>2</v>
      </c>
      <c r="J12" t="inlineStr">
        <is>
          <t>No</t>
        </is>
      </c>
      <c r="K12" t="n">
        <v>1</v>
      </c>
      <c r="L12" t="inlineStr">
        <is>
          <t>No</t>
        </is>
      </c>
      <c r="M12" t="inlineStr">
        <is>
          <t>Yes</t>
        </is>
      </c>
      <c r="N12" t="n">
        <v>1</v>
      </c>
      <c r="O12" t="inlineStr">
        <is>
          <t>No</t>
        </is>
      </c>
      <c r="P12" t="n">
        <v>0</v>
      </c>
      <c r="R12" t="n">
        <v>0</v>
      </c>
      <c r="S12" t="n">
        <v>0</v>
      </c>
      <c r="T12" t="n">
        <v>2</v>
      </c>
      <c r="U12" t="inlineStr">
        <is>
          <t>Yes</t>
        </is>
      </c>
      <c r="V12" t="inlineStr">
        <is>
          <t>No</t>
        </is>
      </c>
    </row>
    <row r="13">
      <c r="A13" t="inlineStr">
        <is>
          <t>2025 Annual Security Report</t>
        </is>
      </c>
      <c r="B13" s="1">
        <f>HYPERLINK("https://www.calstatela.edu/sites/default/files/2025%20Annual%20Security%20Report.pdf", "https://www.calstatela.edu/sites/default/files/2025%20Annual%20Security%20Report.pdf")</f>
        <v/>
      </c>
      <c r="C13" s="1">
        <f>HYPERLINK("https://www.calstatela.edu/studenthealthcenter/after-hours-and-emergencies-care", "https://www.calstatela.edu/studenthealthcenter/after-hours-and-emergencies-care")</f>
        <v/>
      </c>
      <c r="D13" t="inlineStr">
        <is>
          <t>2026-02-05 20:38:16</t>
        </is>
      </c>
      <c r="E13" t="inlineStr">
        <is>
          <t>d35aba</t>
        </is>
      </c>
      <c r="F13" t="inlineStr">
        <is>
          <t>calstatela.edu_studenthealthcenter</t>
        </is>
      </c>
      <c r="G13" t="inlineStr">
        <is>
          <t>CSULA-content-manager_eop</t>
        </is>
      </c>
      <c r="H13" t="n">
        <v>1</v>
      </c>
      <c r="I13" t="n">
        <v>4</v>
      </c>
      <c r="J13" t="inlineStr">
        <is>
          <t>No</t>
        </is>
      </c>
      <c r="K13" t="n">
        <v>1</v>
      </c>
      <c r="L13" t="inlineStr">
        <is>
          <t>No</t>
        </is>
      </c>
      <c r="M13" t="inlineStr">
        <is>
          <t>Yes</t>
        </is>
      </c>
      <c r="N13" t="n">
        <v>1</v>
      </c>
      <c r="O13" t="inlineStr">
        <is>
          <t>No</t>
        </is>
      </c>
      <c r="P13" t="n">
        <v>0</v>
      </c>
      <c r="R13" t="n">
        <v>0</v>
      </c>
      <c r="S13" t="n">
        <v>0</v>
      </c>
      <c r="T13" t="n">
        <v>4</v>
      </c>
      <c r="U13" t="inlineStr">
        <is>
          <t>Yes</t>
        </is>
      </c>
      <c r="V13" t="inlineStr">
        <is>
          <t>No</t>
        </is>
      </c>
    </row>
    <row r="14">
      <c r="A14" t="inlineStr">
        <is>
          <t>2026 Campus Safety Plan</t>
        </is>
      </c>
      <c r="B14" s="1">
        <f>HYPERLINK("https://www.calstatela.edu/sites/default/files/2026%20Campus%20Safety%20Plan.pdf", "https://www.calstatela.edu/sites/default/files/2026%20Campus%20Safety%20Plan.pdf")</f>
        <v/>
      </c>
      <c r="C14" s="1">
        <f>HYPERLINK("https://www.calstatela.edu/studenthealthcenter/after-hours-and-emergencies-care", "https://www.calstatela.edu/studenthealthcenter/after-hours-and-emergencies-care")</f>
        <v/>
      </c>
      <c r="D14" t="inlineStr">
        <is>
          <t>2026-02-05 20:38:16</t>
        </is>
      </c>
      <c r="E14" t="inlineStr">
        <is>
          <t>69529a</t>
        </is>
      </c>
      <c r="F14" t="inlineStr">
        <is>
          <t>calstatela.edu_studenthealthcenter</t>
        </is>
      </c>
      <c r="G14" t="inlineStr">
        <is>
          <t>CSULA-content-manager_eop</t>
        </is>
      </c>
      <c r="H14" t="n">
        <v>1</v>
      </c>
      <c r="I14" t="n">
        <v>2</v>
      </c>
      <c r="J14" t="inlineStr">
        <is>
          <t>No</t>
        </is>
      </c>
      <c r="K14" t="n">
        <v>1</v>
      </c>
      <c r="L14" t="inlineStr">
        <is>
          <t>No</t>
        </is>
      </c>
      <c r="M14" t="inlineStr">
        <is>
          <t>Yes</t>
        </is>
      </c>
      <c r="N14" t="n">
        <v>1</v>
      </c>
      <c r="O14" t="inlineStr">
        <is>
          <t>No</t>
        </is>
      </c>
      <c r="P14" t="n">
        <v>0</v>
      </c>
      <c r="R14" t="n">
        <v>0</v>
      </c>
      <c r="S14" t="n">
        <v>0</v>
      </c>
      <c r="T14" t="n">
        <v>2</v>
      </c>
      <c r="U14" t="inlineStr">
        <is>
          <t>Yes</t>
        </is>
      </c>
      <c r="V14" t="inlineStr">
        <is>
          <t>No</t>
        </is>
      </c>
    </row>
    <row r="15">
      <c r="A15" t="inlineStr">
        <is>
          <t>2025 Annual Security Report</t>
        </is>
      </c>
      <c r="B15" s="1">
        <f>HYPERLINK("https://www.calstatela.edu/sites/default/files/2025%20Annual%20Security%20Report.pdf", "https://www.calstatela.edu/sites/default/files/2025%20Annual%20Security%20Report.pdf")</f>
        <v/>
      </c>
      <c r="C15" s="1">
        <f>HYPERLINK("https://www.calstatela.edu/studenthealthcenter/enrollment-immunization-and-screening-requirements", "https://www.calstatela.edu/studenthealthcenter/enrollment-immunization-and-screening-requirements")</f>
        <v/>
      </c>
      <c r="D15" t="inlineStr">
        <is>
          <t>2026-02-05 20:38:16</t>
        </is>
      </c>
      <c r="E15" t="inlineStr">
        <is>
          <t>d35aba</t>
        </is>
      </c>
      <c r="F15" t="inlineStr">
        <is>
          <t>calstatela.edu_studenthealthcenter</t>
        </is>
      </c>
      <c r="G15" t="inlineStr">
        <is>
          <t>CSULA-content-manager_eop</t>
        </is>
      </c>
      <c r="H15" t="n">
        <v>1</v>
      </c>
      <c r="I15" t="n">
        <v>4</v>
      </c>
      <c r="J15" t="inlineStr">
        <is>
          <t>No</t>
        </is>
      </c>
      <c r="K15" t="n">
        <v>1</v>
      </c>
      <c r="L15" t="inlineStr">
        <is>
          <t>No</t>
        </is>
      </c>
      <c r="M15" t="inlineStr">
        <is>
          <t>Yes</t>
        </is>
      </c>
      <c r="N15" t="n">
        <v>1</v>
      </c>
      <c r="O15" t="inlineStr">
        <is>
          <t>No</t>
        </is>
      </c>
      <c r="P15" t="n">
        <v>0</v>
      </c>
      <c r="R15" t="n">
        <v>0</v>
      </c>
      <c r="S15" t="n">
        <v>0</v>
      </c>
      <c r="T15" t="n">
        <v>4</v>
      </c>
      <c r="U15" t="inlineStr">
        <is>
          <t>Yes</t>
        </is>
      </c>
      <c r="V15" t="inlineStr">
        <is>
          <t>No</t>
        </is>
      </c>
    </row>
    <row r="16">
      <c r="A16" t="inlineStr">
        <is>
          <t>2026 Campus Safety Plan</t>
        </is>
      </c>
      <c r="B16" s="1">
        <f>HYPERLINK("https://www.calstatela.edu/sites/default/files/2026%20Campus%20Safety%20Plan.pdf", "https://www.calstatela.edu/sites/default/files/2026%20Campus%20Safety%20Plan.pdf")</f>
        <v/>
      </c>
      <c r="C16" s="1">
        <f>HYPERLINK("https://www.calstatela.edu/studenthealthcenter/enrollment-immunization-and-screening-requirements", "https://www.calstatela.edu/studenthealthcenter/enrollment-immunization-and-screening-requirements")</f>
        <v/>
      </c>
      <c r="D16" t="inlineStr">
        <is>
          <t>2026-02-05 20:38:16</t>
        </is>
      </c>
      <c r="E16" t="inlineStr">
        <is>
          <t>69529a</t>
        </is>
      </c>
      <c r="F16" t="inlineStr">
        <is>
          <t>calstatela.edu_studenthealthcenter</t>
        </is>
      </c>
      <c r="G16" t="inlineStr">
        <is>
          <t>CSULA-content-manager_eop</t>
        </is>
      </c>
      <c r="H16" t="n">
        <v>1</v>
      </c>
      <c r="I16" t="n">
        <v>2</v>
      </c>
      <c r="J16" t="inlineStr">
        <is>
          <t>No</t>
        </is>
      </c>
      <c r="K16" t="n">
        <v>1</v>
      </c>
      <c r="L16" t="inlineStr">
        <is>
          <t>No</t>
        </is>
      </c>
      <c r="M16" t="inlineStr">
        <is>
          <t>Yes</t>
        </is>
      </c>
      <c r="N16" t="n">
        <v>1</v>
      </c>
      <c r="O16" t="inlineStr">
        <is>
          <t>No</t>
        </is>
      </c>
      <c r="P16" t="n">
        <v>0</v>
      </c>
      <c r="R16" t="n">
        <v>0</v>
      </c>
      <c r="S16" t="n">
        <v>0</v>
      </c>
      <c r="T16" t="n">
        <v>2</v>
      </c>
      <c r="U16" t="inlineStr">
        <is>
          <t>Yes</t>
        </is>
      </c>
      <c r="V16" t="inlineStr">
        <is>
          <t>No</t>
        </is>
      </c>
    </row>
    <row r="17">
      <c r="A17" t="inlineStr">
        <is>
          <t>2025 Annual Security Report</t>
        </is>
      </c>
      <c r="B17" s="1">
        <f>HYPERLINK("https://www.calstatela.edu/sites/default/files/2025%20Annual%20Security%20Report.pdf", "https://www.calstatela.edu/sites/default/files/2025%20Annual%20Security%20Report.pdf")</f>
        <v/>
      </c>
      <c r="C17" s="1">
        <f>HYPERLINK("https://www.calstatela.edu/studenthealthcenter/eligibility", "https://www.calstatela.edu/studenthealthcenter/eligibility")</f>
        <v/>
      </c>
      <c r="D17" t="inlineStr">
        <is>
          <t>2026-02-05 20:38:16</t>
        </is>
      </c>
      <c r="E17" t="inlineStr">
        <is>
          <t>d35aba</t>
        </is>
      </c>
      <c r="F17" t="inlineStr">
        <is>
          <t>calstatela.edu_studenthealthcenter</t>
        </is>
      </c>
      <c r="G17" t="inlineStr">
        <is>
          <t>CSULA-content-manager_eop</t>
        </is>
      </c>
      <c r="H17" t="n">
        <v>1</v>
      </c>
      <c r="I17" t="n">
        <v>4</v>
      </c>
      <c r="J17" t="inlineStr">
        <is>
          <t>No</t>
        </is>
      </c>
      <c r="K17" t="n">
        <v>1</v>
      </c>
      <c r="L17" t="inlineStr">
        <is>
          <t>No</t>
        </is>
      </c>
      <c r="M17" t="inlineStr">
        <is>
          <t>Yes</t>
        </is>
      </c>
      <c r="N17" t="n">
        <v>1</v>
      </c>
      <c r="O17" t="inlineStr">
        <is>
          <t>No</t>
        </is>
      </c>
      <c r="P17" t="n">
        <v>0</v>
      </c>
      <c r="R17" t="n">
        <v>0</v>
      </c>
      <c r="S17" t="n">
        <v>0</v>
      </c>
      <c r="T17" t="n">
        <v>4</v>
      </c>
      <c r="U17" t="inlineStr">
        <is>
          <t>Yes</t>
        </is>
      </c>
      <c r="V17" t="inlineStr">
        <is>
          <t>No</t>
        </is>
      </c>
    </row>
    <row r="18">
      <c r="A18" t="inlineStr">
        <is>
          <t>2026 Campus Safety Plan</t>
        </is>
      </c>
      <c r="B18" s="1">
        <f>HYPERLINK("https://www.calstatela.edu/sites/default/files/2026%20Campus%20Safety%20Plan.pdf", "https://www.calstatela.edu/sites/default/files/2026%20Campus%20Safety%20Plan.pdf")</f>
        <v/>
      </c>
      <c r="C18" s="1">
        <f>HYPERLINK("https://www.calstatela.edu/studenthealthcenter/eligibility", "https://www.calstatela.edu/studenthealthcenter/eligibility")</f>
        <v/>
      </c>
      <c r="D18" t="inlineStr">
        <is>
          <t>2026-02-05 20:38:16</t>
        </is>
      </c>
      <c r="E18" t="inlineStr">
        <is>
          <t>69529a</t>
        </is>
      </c>
      <c r="F18" t="inlineStr">
        <is>
          <t>calstatela.edu_studenthealthcenter</t>
        </is>
      </c>
      <c r="G18" t="inlineStr">
        <is>
          <t>CSULA-content-manager_eop</t>
        </is>
      </c>
      <c r="H18" t="n">
        <v>1</v>
      </c>
      <c r="I18" t="n">
        <v>2</v>
      </c>
      <c r="J18" t="inlineStr">
        <is>
          <t>No</t>
        </is>
      </c>
      <c r="K18" t="n">
        <v>1</v>
      </c>
      <c r="L18" t="inlineStr">
        <is>
          <t>No</t>
        </is>
      </c>
      <c r="M18" t="inlineStr">
        <is>
          <t>Yes</t>
        </is>
      </c>
      <c r="N18" t="n">
        <v>1</v>
      </c>
      <c r="O18" t="inlineStr">
        <is>
          <t>No</t>
        </is>
      </c>
      <c r="P18" t="n">
        <v>0</v>
      </c>
      <c r="R18" t="n">
        <v>0</v>
      </c>
      <c r="S18" t="n">
        <v>0</v>
      </c>
      <c r="T18" t="n">
        <v>2</v>
      </c>
      <c r="U18" t="inlineStr">
        <is>
          <t>Yes</t>
        </is>
      </c>
      <c r="V18" t="inlineStr">
        <is>
          <t>No</t>
        </is>
      </c>
    </row>
    <row r="19">
      <c r="A19" t="inlineStr">
        <is>
          <t>2025 Annual Security Report</t>
        </is>
      </c>
      <c r="B19" s="1">
        <f>HYPERLINK("https://www.calstatela.edu/sites/default/files/2025%20Annual%20Security%20Report.pdf", "https://www.calstatela.edu/sites/default/files/2025%20Annual%20Security%20Report.pdf")</f>
        <v/>
      </c>
      <c r="C19" s="1">
        <f>HYPERLINK("https://www.calstatela.edu/studenthealthcenter/services", "https://www.calstatela.edu/studenthealthcenter/services")</f>
        <v/>
      </c>
      <c r="D19" t="inlineStr">
        <is>
          <t>2026-02-05 20:38:16</t>
        </is>
      </c>
      <c r="E19" t="inlineStr">
        <is>
          <t>d35aba</t>
        </is>
      </c>
      <c r="F19" t="inlineStr">
        <is>
          <t>calstatela.edu_studenthealthcenter</t>
        </is>
      </c>
      <c r="G19" t="inlineStr">
        <is>
          <t>CSULA-content-manager_eop</t>
        </is>
      </c>
      <c r="H19" t="n">
        <v>1</v>
      </c>
      <c r="I19" t="n">
        <v>4</v>
      </c>
      <c r="J19" t="inlineStr">
        <is>
          <t>No</t>
        </is>
      </c>
      <c r="K19" t="n">
        <v>1</v>
      </c>
      <c r="L19" t="inlineStr">
        <is>
          <t>No</t>
        </is>
      </c>
      <c r="M19" t="inlineStr">
        <is>
          <t>Yes</t>
        </is>
      </c>
      <c r="N19" t="n">
        <v>1</v>
      </c>
      <c r="O19" t="inlineStr">
        <is>
          <t>No</t>
        </is>
      </c>
      <c r="P19" t="n">
        <v>0</v>
      </c>
      <c r="R19" t="n">
        <v>0</v>
      </c>
      <c r="S19" t="n">
        <v>0</v>
      </c>
      <c r="T19" t="n">
        <v>4</v>
      </c>
      <c r="U19" t="inlineStr">
        <is>
          <t>Yes</t>
        </is>
      </c>
      <c r="V19" t="inlineStr">
        <is>
          <t>No</t>
        </is>
      </c>
    </row>
    <row r="20">
      <c r="A20" t="inlineStr">
        <is>
          <t>2026 Campus Safety Plan</t>
        </is>
      </c>
      <c r="B20" s="1">
        <f>HYPERLINK("https://www.calstatela.edu/sites/default/files/2026%20Campus%20Safety%20Plan.pdf", "https://www.calstatela.edu/sites/default/files/2026%20Campus%20Safety%20Plan.pdf")</f>
        <v/>
      </c>
      <c r="C20" s="1">
        <f>HYPERLINK("https://www.calstatela.edu/studenthealthcenter/services", "https://www.calstatela.edu/studenthealthcenter/services")</f>
        <v/>
      </c>
      <c r="D20" t="inlineStr">
        <is>
          <t>2026-02-05 20:38:16</t>
        </is>
      </c>
      <c r="E20" t="inlineStr">
        <is>
          <t>69529a</t>
        </is>
      </c>
      <c r="F20" t="inlineStr">
        <is>
          <t>calstatela.edu_studenthealthcenter</t>
        </is>
      </c>
      <c r="G20" t="inlineStr">
        <is>
          <t>CSULA-content-manager_eop</t>
        </is>
      </c>
      <c r="H20" t="n">
        <v>1</v>
      </c>
      <c r="I20" t="n">
        <v>2</v>
      </c>
      <c r="J20" t="inlineStr">
        <is>
          <t>No</t>
        </is>
      </c>
      <c r="K20" t="n">
        <v>1</v>
      </c>
      <c r="L20" t="inlineStr">
        <is>
          <t>No</t>
        </is>
      </c>
      <c r="M20" t="inlineStr">
        <is>
          <t>Yes</t>
        </is>
      </c>
      <c r="N20" t="n">
        <v>1</v>
      </c>
      <c r="O20" t="inlineStr">
        <is>
          <t>No</t>
        </is>
      </c>
      <c r="P20" t="n">
        <v>0</v>
      </c>
      <c r="R20" t="n">
        <v>0</v>
      </c>
      <c r="S20" t="n">
        <v>0</v>
      </c>
      <c r="T20" t="n">
        <v>2</v>
      </c>
      <c r="U20" t="inlineStr">
        <is>
          <t>Yes</t>
        </is>
      </c>
      <c r="V20" t="inlineStr">
        <is>
          <t>No</t>
        </is>
      </c>
    </row>
    <row r="21">
      <c r="A21" t="inlineStr">
        <is>
          <t>2025 Annual Security Report</t>
        </is>
      </c>
      <c r="B21" s="1">
        <f>HYPERLINK("https://www.calstatela.edu/sites/default/files/2025%20Annual%20Security%20Report.pdf", "https://www.calstatela.edu/sites/default/files/2025%20Annual%20Security%20Report.pdf")</f>
        <v/>
      </c>
      <c r="C21" s="1">
        <f>HYPERLINK("https://www.calstatela.edu/studenthealthcenter/our-staff", "https://www.calstatela.edu/studenthealthcenter/our-staff")</f>
        <v/>
      </c>
      <c r="D21" t="inlineStr">
        <is>
          <t>2026-02-05 20:38:16</t>
        </is>
      </c>
      <c r="E21" t="inlineStr">
        <is>
          <t>d35aba</t>
        </is>
      </c>
      <c r="F21" t="inlineStr">
        <is>
          <t>calstatela.edu_studenthealthcenter</t>
        </is>
      </c>
      <c r="G21" t="inlineStr">
        <is>
          <t>CSULA-content-manager_eop</t>
        </is>
      </c>
      <c r="H21" t="n">
        <v>1</v>
      </c>
      <c r="I21" t="n">
        <v>4</v>
      </c>
      <c r="J21" t="inlineStr">
        <is>
          <t>No</t>
        </is>
      </c>
      <c r="K21" t="n">
        <v>1</v>
      </c>
      <c r="L21" t="inlineStr">
        <is>
          <t>No</t>
        </is>
      </c>
      <c r="M21" t="inlineStr">
        <is>
          <t>Yes</t>
        </is>
      </c>
      <c r="N21" t="n">
        <v>1</v>
      </c>
      <c r="O21" t="inlineStr">
        <is>
          <t>No</t>
        </is>
      </c>
      <c r="P21" t="n">
        <v>0</v>
      </c>
      <c r="R21" t="n">
        <v>0</v>
      </c>
      <c r="S21" t="n">
        <v>0</v>
      </c>
      <c r="T21" t="n">
        <v>4</v>
      </c>
      <c r="U21" t="inlineStr">
        <is>
          <t>Yes</t>
        </is>
      </c>
      <c r="V21" t="inlineStr">
        <is>
          <t>No</t>
        </is>
      </c>
    </row>
    <row r="22">
      <c r="A22" t="inlineStr">
        <is>
          <t>2026 Campus Safety Plan</t>
        </is>
      </c>
      <c r="B22" s="1">
        <f>HYPERLINK("https://www.calstatela.edu/sites/default/files/2026%20Campus%20Safety%20Plan.pdf", "https://www.calstatela.edu/sites/default/files/2026%20Campus%20Safety%20Plan.pdf")</f>
        <v/>
      </c>
      <c r="C22" s="1">
        <f>HYPERLINK("https://www.calstatela.edu/studenthealthcenter/our-staff", "https://www.calstatela.edu/studenthealthcenter/our-staff")</f>
        <v/>
      </c>
      <c r="D22" t="inlineStr">
        <is>
          <t>2026-02-05 20:38:16</t>
        </is>
      </c>
      <c r="E22" t="inlineStr">
        <is>
          <t>69529a</t>
        </is>
      </c>
      <c r="F22" t="inlineStr">
        <is>
          <t>calstatela.edu_studenthealthcenter</t>
        </is>
      </c>
      <c r="G22" t="inlineStr">
        <is>
          <t>CSULA-content-manager_eop</t>
        </is>
      </c>
      <c r="H22" t="n">
        <v>1</v>
      </c>
      <c r="I22" t="n">
        <v>2</v>
      </c>
      <c r="J22" t="inlineStr">
        <is>
          <t>No</t>
        </is>
      </c>
      <c r="K22" t="n">
        <v>1</v>
      </c>
      <c r="L22" t="inlineStr">
        <is>
          <t>No</t>
        </is>
      </c>
      <c r="M22" t="inlineStr">
        <is>
          <t>Yes</t>
        </is>
      </c>
      <c r="N22" t="n">
        <v>1</v>
      </c>
      <c r="O22" t="inlineStr">
        <is>
          <t>No</t>
        </is>
      </c>
      <c r="P22" t="n">
        <v>0</v>
      </c>
      <c r="R22" t="n">
        <v>0</v>
      </c>
      <c r="S22" t="n">
        <v>0</v>
      </c>
      <c r="T22" t="n">
        <v>2</v>
      </c>
      <c r="U22" t="inlineStr">
        <is>
          <t>Yes</t>
        </is>
      </c>
      <c r="V22" t="inlineStr">
        <is>
          <t>No</t>
        </is>
      </c>
    </row>
    <row r="23">
      <c r="A23" t="inlineStr">
        <is>
          <t>2025 Annual Security Report</t>
        </is>
      </c>
      <c r="B23" s="1">
        <f>HYPERLINK("https://www.calstatela.edu/sites/default/files/2025%20Annual%20Security%20Report.pdf", "https://www.calstatela.edu/sites/default/files/2025%20Annual%20Security%20Report.pdf")</f>
        <v/>
      </c>
      <c r="C23" s="1">
        <f>HYPERLINK("https://www.calstatela.edu/studenthealthcenter/safe", "https://www.calstatela.edu/studenthealthcenter/safe")</f>
        <v/>
      </c>
      <c r="D23" t="inlineStr">
        <is>
          <t>2026-02-05 20:38:16</t>
        </is>
      </c>
      <c r="E23" t="inlineStr">
        <is>
          <t>d35aba</t>
        </is>
      </c>
      <c r="F23" t="inlineStr">
        <is>
          <t>calstatela.edu_studenthealthcenter</t>
        </is>
      </c>
      <c r="G23" t="inlineStr">
        <is>
          <t>CSULA-content-manager_eop</t>
        </is>
      </c>
      <c r="H23" t="n">
        <v>1</v>
      </c>
      <c r="I23" t="n">
        <v>4</v>
      </c>
      <c r="J23" t="inlineStr">
        <is>
          <t>No</t>
        </is>
      </c>
      <c r="K23" t="n">
        <v>1</v>
      </c>
      <c r="L23" t="inlineStr">
        <is>
          <t>No</t>
        </is>
      </c>
      <c r="M23" t="inlineStr">
        <is>
          <t>Yes</t>
        </is>
      </c>
      <c r="N23" t="n">
        <v>1</v>
      </c>
      <c r="O23" t="inlineStr">
        <is>
          <t>No</t>
        </is>
      </c>
      <c r="P23" t="n">
        <v>0</v>
      </c>
      <c r="R23" t="n">
        <v>0</v>
      </c>
      <c r="S23" t="n">
        <v>0</v>
      </c>
      <c r="T23" t="n">
        <v>4</v>
      </c>
      <c r="U23" t="inlineStr">
        <is>
          <t>Yes</t>
        </is>
      </c>
      <c r="V23" t="inlineStr">
        <is>
          <t>No</t>
        </is>
      </c>
    </row>
    <row r="24">
      <c r="A24" t="inlineStr">
        <is>
          <t>2026 Campus Safety Plan</t>
        </is>
      </c>
      <c r="B24" s="1">
        <f>HYPERLINK("https://www.calstatela.edu/sites/default/files/2026%20Campus%20Safety%20Plan.pdf", "https://www.calstatela.edu/sites/default/files/2026%20Campus%20Safety%20Plan.pdf")</f>
        <v/>
      </c>
      <c r="C24" s="1">
        <f>HYPERLINK("https://www.calstatela.edu/studenthealthcenter/safe", "https://www.calstatela.edu/studenthealthcenter/safe")</f>
        <v/>
      </c>
      <c r="D24" t="inlineStr">
        <is>
          <t>2026-02-05 20:38:16</t>
        </is>
      </c>
      <c r="E24" t="inlineStr">
        <is>
          <t>69529a</t>
        </is>
      </c>
      <c r="F24" t="inlineStr">
        <is>
          <t>calstatela.edu_studenthealthcenter</t>
        </is>
      </c>
      <c r="G24" t="inlineStr">
        <is>
          <t>CSULA-content-manager_eop</t>
        </is>
      </c>
      <c r="H24" t="n">
        <v>1</v>
      </c>
      <c r="I24" t="n">
        <v>2</v>
      </c>
      <c r="J24" t="inlineStr">
        <is>
          <t>No</t>
        </is>
      </c>
      <c r="K24" t="n">
        <v>1</v>
      </c>
      <c r="L24" t="inlineStr">
        <is>
          <t>No</t>
        </is>
      </c>
      <c r="M24" t="inlineStr">
        <is>
          <t>Yes</t>
        </is>
      </c>
      <c r="N24" t="n">
        <v>1</v>
      </c>
      <c r="O24" t="inlineStr">
        <is>
          <t>No</t>
        </is>
      </c>
      <c r="P24" t="n">
        <v>0</v>
      </c>
      <c r="R24" t="n">
        <v>0</v>
      </c>
      <c r="S24" t="n">
        <v>0</v>
      </c>
      <c r="T24" t="n">
        <v>2</v>
      </c>
      <c r="U24" t="inlineStr">
        <is>
          <t>Yes</t>
        </is>
      </c>
      <c r="V24" t="inlineStr">
        <is>
          <t>No</t>
        </is>
      </c>
    </row>
    <row r="25">
      <c r="A25" t="inlineStr">
        <is>
          <t>2025 Annual Security Report</t>
        </is>
      </c>
      <c r="B25" s="1">
        <f>HYPERLINK("https://www.calstatela.edu/sites/default/files/2025%20Annual%20Security%20Report.pdf", "https://www.calstatela.edu/sites/default/files/2025%20Annual%20Security%20Report.pdf")</f>
        <v/>
      </c>
      <c r="C25" s="1">
        <f>HYPERLINK("https://www.calstatela.edu/studenthealthcenter/patient-satisfaction-rights-and-responsibilities", "https://www.calstatela.edu/studenthealthcenter/patient-satisfaction-rights-and-responsibilities")</f>
        <v/>
      </c>
      <c r="D25" t="inlineStr">
        <is>
          <t>2026-02-05 20:38:16</t>
        </is>
      </c>
      <c r="E25" t="inlineStr">
        <is>
          <t>d35aba</t>
        </is>
      </c>
      <c r="F25" t="inlineStr">
        <is>
          <t>calstatela.edu_studenthealthcenter</t>
        </is>
      </c>
      <c r="G25" t="inlineStr">
        <is>
          <t>CSULA-content-manager_eop</t>
        </is>
      </c>
      <c r="H25" t="n">
        <v>1</v>
      </c>
      <c r="I25" t="n">
        <v>4</v>
      </c>
      <c r="J25" t="inlineStr">
        <is>
          <t>No</t>
        </is>
      </c>
      <c r="K25" t="n">
        <v>1</v>
      </c>
      <c r="L25" t="inlineStr">
        <is>
          <t>No</t>
        </is>
      </c>
      <c r="M25" t="inlineStr">
        <is>
          <t>Yes</t>
        </is>
      </c>
      <c r="N25" t="n">
        <v>1</v>
      </c>
      <c r="O25" t="inlineStr">
        <is>
          <t>No</t>
        </is>
      </c>
      <c r="P25" t="n">
        <v>0</v>
      </c>
      <c r="R25" t="n">
        <v>0</v>
      </c>
      <c r="S25" t="n">
        <v>0</v>
      </c>
      <c r="T25" t="n">
        <v>4</v>
      </c>
      <c r="U25" t="inlineStr">
        <is>
          <t>Yes</t>
        </is>
      </c>
      <c r="V25" t="inlineStr">
        <is>
          <t>No</t>
        </is>
      </c>
    </row>
    <row r="26">
      <c r="A26" t="inlineStr">
        <is>
          <t>2026 Campus Safety Plan</t>
        </is>
      </c>
      <c r="B26" s="1">
        <f>HYPERLINK("https://www.calstatela.edu/sites/default/files/2026%20Campus%20Safety%20Plan.pdf", "https://www.calstatela.edu/sites/default/files/2026%20Campus%20Safety%20Plan.pdf")</f>
        <v/>
      </c>
      <c r="C26" s="1">
        <f>HYPERLINK("https://www.calstatela.edu/studenthealthcenter/patient-satisfaction-rights-and-responsibilities", "https://www.calstatela.edu/studenthealthcenter/patient-satisfaction-rights-and-responsibilities")</f>
        <v/>
      </c>
      <c r="D26" t="inlineStr">
        <is>
          <t>2026-02-05 20:38:16</t>
        </is>
      </c>
      <c r="E26" t="inlineStr">
        <is>
          <t>69529a</t>
        </is>
      </c>
      <c r="F26" t="inlineStr">
        <is>
          <t>calstatela.edu_studenthealthcenter</t>
        </is>
      </c>
      <c r="G26" t="inlineStr">
        <is>
          <t>CSULA-content-manager_eop</t>
        </is>
      </c>
      <c r="H26" t="n">
        <v>1</v>
      </c>
      <c r="I26" t="n">
        <v>2</v>
      </c>
      <c r="J26" t="inlineStr">
        <is>
          <t>No</t>
        </is>
      </c>
      <c r="K26" t="n">
        <v>1</v>
      </c>
      <c r="L26" t="inlineStr">
        <is>
          <t>No</t>
        </is>
      </c>
      <c r="M26" t="inlineStr">
        <is>
          <t>Yes</t>
        </is>
      </c>
      <c r="N26" t="n">
        <v>1</v>
      </c>
      <c r="O26" t="inlineStr">
        <is>
          <t>No</t>
        </is>
      </c>
      <c r="P26" t="n">
        <v>0</v>
      </c>
      <c r="R26" t="n">
        <v>0</v>
      </c>
      <c r="S26" t="n">
        <v>0</v>
      </c>
      <c r="T26" t="n">
        <v>2</v>
      </c>
      <c r="U26" t="inlineStr">
        <is>
          <t>Yes</t>
        </is>
      </c>
      <c r="V26" t="inlineStr">
        <is>
          <t>No</t>
        </is>
      </c>
    </row>
    <row r="27">
      <c r="A27" t="inlineStr">
        <is>
          <t>2025 Annual Security Report</t>
        </is>
      </c>
      <c r="B27" s="1">
        <f>HYPERLINK("https://www.calstatela.edu/sites/default/files/2025%20Annual%20Security%20Report.pdf", "https://www.calstatela.edu/sites/default/files/2025%20Annual%20Security%20Report.pdf")</f>
        <v/>
      </c>
      <c r="C27" s="1">
        <f>HYPERLINK("https://www.calstatela.edu/studenthealthcenter/hotlines-and-resources", "https://www.calstatela.edu/studenthealthcenter/hotlines-and-resources")</f>
        <v/>
      </c>
      <c r="D27" t="inlineStr">
        <is>
          <t>2026-02-05 20:38:16</t>
        </is>
      </c>
      <c r="E27" t="inlineStr">
        <is>
          <t>d35aba</t>
        </is>
      </c>
      <c r="F27" t="inlineStr">
        <is>
          <t>calstatela.edu_studenthealthcenter</t>
        </is>
      </c>
      <c r="G27" t="inlineStr">
        <is>
          <t>CSULA-content-manager_eop</t>
        </is>
      </c>
      <c r="H27" t="n">
        <v>1</v>
      </c>
      <c r="I27" t="n">
        <v>4</v>
      </c>
      <c r="J27" t="inlineStr">
        <is>
          <t>No</t>
        </is>
      </c>
      <c r="K27" t="n">
        <v>1</v>
      </c>
      <c r="L27" t="inlineStr">
        <is>
          <t>No</t>
        </is>
      </c>
      <c r="M27" t="inlineStr">
        <is>
          <t>Yes</t>
        </is>
      </c>
      <c r="N27" t="n">
        <v>1</v>
      </c>
      <c r="O27" t="inlineStr">
        <is>
          <t>No</t>
        </is>
      </c>
      <c r="P27" t="n">
        <v>0</v>
      </c>
      <c r="R27" t="n">
        <v>0</v>
      </c>
      <c r="S27" t="n">
        <v>0</v>
      </c>
      <c r="T27" t="n">
        <v>4</v>
      </c>
      <c r="U27" t="inlineStr">
        <is>
          <t>Yes</t>
        </is>
      </c>
      <c r="V27" t="inlineStr">
        <is>
          <t>No</t>
        </is>
      </c>
    </row>
    <row r="28">
      <c r="A28" t="inlineStr">
        <is>
          <t>2026 Campus Safety Plan</t>
        </is>
      </c>
      <c r="B28" s="1">
        <f>HYPERLINK("https://www.calstatela.edu/sites/default/files/2026%20Campus%20Safety%20Plan.pdf", "https://www.calstatela.edu/sites/default/files/2026%20Campus%20Safety%20Plan.pdf")</f>
        <v/>
      </c>
      <c r="C28" s="1">
        <f>HYPERLINK("https://www.calstatela.edu/studenthealthcenter/hotlines-and-resources", "https://www.calstatela.edu/studenthealthcenter/hotlines-and-resources")</f>
        <v/>
      </c>
      <c r="D28" t="inlineStr">
        <is>
          <t>2026-02-05 20:38:16</t>
        </is>
      </c>
      <c r="E28" t="inlineStr">
        <is>
          <t>69529a</t>
        </is>
      </c>
      <c r="F28" t="inlineStr">
        <is>
          <t>calstatela.edu_studenthealthcenter</t>
        </is>
      </c>
      <c r="G28" t="inlineStr">
        <is>
          <t>CSULA-content-manager_eop</t>
        </is>
      </c>
      <c r="H28" t="n">
        <v>1</v>
      </c>
      <c r="I28" t="n">
        <v>2</v>
      </c>
      <c r="J28" t="inlineStr">
        <is>
          <t>No</t>
        </is>
      </c>
      <c r="K28" t="n">
        <v>1</v>
      </c>
      <c r="L28" t="inlineStr">
        <is>
          <t>No</t>
        </is>
      </c>
      <c r="M28" t="inlineStr">
        <is>
          <t>Yes</t>
        </is>
      </c>
      <c r="N28" t="n">
        <v>1</v>
      </c>
      <c r="O28" t="inlineStr">
        <is>
          <t>No</t>
        </is>
      </c>
      <c r="P28" t="n">
        <v>0</v>
      </c>
      <c r="R28" t="n">
        <v>0</v>
      </c>
      <c r="S28" t="n">
        <v>0</v>
      </c>
      <c r="T28" t="n">
        <v>2</v>
      </c>
      <c r="U28" t="inlineStr">
        <is>
          <t>Yes</t>
        </is>
      </c>
      <c r="V28" t="inlineStr">
        <is>
          <t>No</t>
        </is>
      </c>
    </row>
    <row r="29">
      <c r="A29" s="2" t="inlineStr">
        <is>
          <t>1.13.23 notice</t>
        </is>
      </c>
      <c r="B29" s="3">
        <f>HYPERLINK("https://www.calstatela.edu/sites/default/files/1.13.23_notice.pdf", "https://www.calstatela.edu/sites/default/files/1.13.23_notice.pdf")</f>
        <v/>
      </c>
      <c r="C29" s="3">
        <f>HYPERLINK("https://www.calstatela.edu/studenthealthcenter/privacy-notice", "https://www.calstatela.edu/studenthealthcenter/privacy-notice")</f>
        <v/>
      </c>
      <c r="D29" s="2" t="inlineStr">
        <is>
          <t>2026-02-05 20:38:22</t>
        </is>
      </c>
      <c r="E29" s="2" t="inlineStr">
        <is>
          <t>7f2cf0</t>
        </is>
      </c>
      <c r="F29" s="2" t="inlineStr">
        <is>
          <t>calstatela.edu_studenthealthcenter</t>
        </is>
      </c>
      <c r="G29" s="2" t="inlineStr">
        <is>
          <t>CSULA-content-manager_eop</t>
        </is>
      </c>
      <c r="H29" s="2" t="n">
        <v>1</v>
      </c>
      <c r="I29" s="2" t="n">
        <v>6</v>
      </c>
      <c r="J29" s="2" t="inlineStr">
        <is>
          <t>No</t>
        </is>
      </c>
      <c r="K29" s="2" t="n">
        <v>0</v>
      </c>
      <c r="L29" s="2" t="inlineStr">
        <is>
          <t>No</t>
        </is>
      </c>
      <c r="M29" s="2" t="inlineStr">
        <is>
          <t>Yes</t>
        </is>
      </c>
      <c r="N29" s="2" t="n">
        <v>0</v>
      </c>
      <c r="O29" s="2" t="inlineStr">
        <is>
          <t>No</t>
        </is>
      </c>
      <c r="P29" s="2" t="n">
        <v>0</v>
      </c>
      <c r="Q29" s="2" t="n"/>
      <c r="R29" s="2" t="n">
        <v>0</v>
      </c>
      <c r="S29" s="2" t="n">
        <v>0</v>
      </c>
      <c r="T29" s="2" t="n">
        <v>0</v>
      </c>
      <c r="U29" s="2" t="inlineStr">
        <is>
          <t>No</t>
        </is>
      </c>
      <c r="V29" s="2" t="inlineStr">
        <is>
          <t>No</t>
        </is>
      </c>
    </row>
    <row r="30">
      <c r="A30" t="inlineStr">
        <is>
          <t>2025 Annual Security Report</t>
        </is>
      </c>
      <c r="B30" s="1">
        <f>HYPERLINK("https://www.calstatela.edu/sites/default/files/2025%20Annual%20Security%20Report.pdf", "https://www.calstatela.edu/sites/default/files/2025%20Annual%20Security%20Report.pdf")</f>
        <v/>
      </c>
      <c r="C30" s="1">
        <f>HYPERLINK("https://www.calstatela.edu/studenthealthcenter/privacy-notice", "https://www.calstatela.edu/studenthealthcenter/privacy-notice")</f>
        <v/>
      </c>
      <c r="D30" t="inlineStr">
        <is>
          <t>2026-02-05 20:38:22</t>
        </is>
      </c>
      <c r="E30" t="inlineStr">
        <is>
          <t>d35aba</t>
        </is>
      </c>
      <c r="F30" t="inlineStr">
        <is>
          <t>calstatela.edu_studenthealthcenter</t>
        </is>
      </c>
      <c r="G30" t="inlineStr">
        <is>
          <t>CSULA-content-manager_eop</t>
        </is>
      </c>
      <c r="H30" t="n">
        <v>1</v>
      </c>
      <c r="I30" t="n">
        <v>4</v>
      </c>
      <c r="J30" t="inlineStr">
        <is>
          <t>No</t>
        </is>
      </c>
      <c r="K30" t="n">
        <v>1</v>
      </c>
      <c r="L30" t="inlineStr">
        <is>
          <t>No</t>
        </is>
      </c>
      <c r="M30" t="inlineStr">
        <is>
          <t>Yes</t>
        </is>
      </c>
      <c r="N30" t="n">
        <v>1</v>
      </c>
      <c r="O30" t="inlineStr">
        <is>
          <t>No</t>
        </is>
      </c>
      <c r="P30" t="n">
        <v>0</v>
      </c>
      <c r="R30" t="n">
        <v>0</v>
      </c>
      <c r="S30" t="n">
        <v>0</v>
      </c>
      <c r="T30" t="n">
        <v>4</v>
      </c>
      <c r="U30" t="inlineStr">
        <is>
          <t>Yes</t>
        </is>
      </c>
      <c r="V30" t="inlineStr">
        <is>
          <t>No</t>
        </is>
      </c>
    </row>
    <row r="31">
      <c r="A31" t="inlineStr">
        <is>
          <t>2026 Campus Safety Plan</t>
        </is>
      </c>
      <c r="B31" s="1">
        <f>HYPERLINK("https://www.calstatela.edu/sites/default/files/2026%20Campus%20Safety%20Plan.pdf", "https://www.calstatela.edu/sites/default/files/2026%20Campus%20Safety%20Plan.pdf")</f>
        <v/>
      </c>
      <c r="C31" s="1">
        <f>HYPERLINK("https://www.calstatela.edu/studenthealthcenter/privacy-notice", "https://www.calstatela.edu/studenthealthcenter/privacy-notice")</f>
        <v/>
      </c>
      <c r="D31" t="inlineStr">
        <is>
          <t>2026-02-05 20:38:22</t>
        </is>
      </c>
      <c r="E31" t="inlineStr">
        <is>
          <t>69529a</t>
        </is>
      </c>
      <c r="F31" t="inlineStr">
        <is>
          <t>calstatela.edu_studenthealthcenter</t>
        </is>
      </c>
      <c r="G31" t="inlineStr">
        <is>
          <t>CSULA-content-manager_eop</t>
        </is>
      </c>
      <c r="H31" t="n">
        <v>1</v>
      </c>
      <c r="I31" t="n">
        <v>2</v>
      </c>
      <c r="J31" t="inlineStr">
        <is>
          <t>No</t>
        </is>
      </c>
      <c r="K31" t="n">
        <v>1</v>
      </c>
      <c r="L31" t="inlineStr">
        <is>
          <t>No</t>
        </is>
      </c>
      <c r="M31" t="inlineStr">
        <is>
          <t>Yes</t>
        </is>
      </c>
      <c r="N31" t="n">
        <v>1</v>
      </c>
      <c r="O31" t="inlineStr">
        <is>
          <t>No</t>
        </is>
      </c>
      <c r="P31" t="n">
        <v>0</v>
      </c>
      <c r="R31" t="n">
        <v>0</v>
      </c>
      <c r="S31" t="n">
        <v>0</v>
      </c>
      <c r="T31" t="n">
        <v>2</v>
      </c>
      <c r="U31" t="inlineStr">
        <is>
          <t>Yes</t>
        </is>
      </c>
      <c r="V31" t="inlineStr">
        <is>
          <t>No</t>
        </is>
      </c>
    </row>
    <row r="32">
      <c r="A32" t="inlineStr">
        <is>
          <t>2025 Annual Security Report</t>
        </is>
      </c>
      <c r="B32" s="1">
        <f>HYPERLINK("https://www.calstatela.edu/sites/default/files/2025%20Annual%20Security%20Report.pdf", "https://www.calstatela.edu/sites/default/files/2025%20Annual%20Security%20Report.pdf")</f>
        <v/>
      </c>
      <c r="C32" s="1">
        <f>HYPERLINK("https://www.calstatela.edu/studenthealthcenter/student-health-ambassadors-cal-state-la", "https://www.calstatela.edu/studenthealthcenter/student-health-ambassadors-cal-state-la")</f>
        <v/>
      </c>
      <c r="D32" t="inlineStr">
        <is>
          <t>2026-02-05 20:38:22</t>
        </is>
      </c>
      <c r="E32" t="inlineStr">
        <is>
          <t>d35aba</t>
        </is>
      </c>
      <c r="F32" t="inlineStr">
        <is>
          <t>calstatela.edu_studenthealthcenter</t>
        </is>
      </c>
      <c r="G32" t="inlineStr">
        <is>
          <t>CSULA-content-manager_eop</t>
        </is>
      </c>
      <c r="H32" t="n">
        <v>1</v>
      </c>
      <c r="I32" t="n">
        <v>4</v>
      </c>
      <c r="J32" t="inlineStr">
        <is>
          <t>No</t>
        </is>
      </c>
      <c r="K32" t="n">
        <v>1</v>
      </c>
      <c r="L32" t="inlineStr">
        <is>
          <t>No</t>
        </is>
      </c>
      <c r="M32" t="inlineStr">
        <is>
          <t>Yes</t>
        </is>
      </c>
      <c r="N32" t="n">
        <v>1</v>
      </c>
      <c r="O32" t="inlineStr">
        <is>
          <t>No</t>
        </is>
      </c>
      <c r="P32" t="n">
        <v>0</v>
      </c>
      <c r="R32" t="n">
        <v>0</v>
      </c>
      <c r="S32" t="n">
        <v>0</v>
      </c>
      <c r="T32" t="n">
        <v>4</v>
      </c>
      <c r="U32" t="inlineStr">
        <is>
          <t>Yes</t>
        </is>
      </c>
      <c r="V32" t="inlineStr">
        <is>
          <t>No</t>
        </is>
      </c>
    </row>
    <row r="33">
      <c r="A33" t="inlineStr">
        <is>
          <t>2026 Campus Safety Plan</t>
        </is>
      </c>
      <c r="B33" s="1">
        <f>HYPERLINK("https://www.calstatela.edu/sites/default/files/2026%20Campus%20Safety%20Plan.pdf", "https://www.calstatela.edu/sites/default/files/2026%20Campus%20Safety%20Plan.pdf")</f>
        <v/>
      </c>
      <c r="C33" s="1">
        <f>HYPERLINK("https://www.calstatela.edu/studenthealthcenter/student-health-ambassadors-cal-state-la", "https://www.calstatela.edu/studenthealthcenter/student-health-ambassadors-cal-state-la")</f>
        <v/>
      </c>
      <c r="D33" t="inlineStr">
        <is>
          <t>2026-02-05 20:38:22</t>
        </is>
      </c>
      <c r="E33" t="inlineStr">
        <is>
          <t>69529a</t>
        </is>
      </c>
      <c r="F33" t="inlineStr">
        <is>
          <t>calstatela.edu_studenthealthcenter</t>
        </is>
      </c>
      <c r="G33" t="inlineStr">
        <is>
          <t>CSULA-content-manager_eop</t>
        </is>
      </c>
      <c r="H33" t="n">
        <v>1</v>
      </c>
      <c r="I33" t="n">
        <v>2</v>
      </c>
      <c r="J33" t="inlineStr">
        <is>
          <t>No</t>
        </is>
      </c>
      <c r="K33" t="n">
        <v>1</v>
      </c>
      <c r="L33" t="inlineStr">
        <is>
          <t>No</t>
        </is>
      </c>
      <c r="M33" t="inlineStr">
        <is>
          <t>Yes</t>
        </is>
      </c>
      <c r="N33" t="n">
        <v>1</v>
      </c>
      <c r="O33" t="inlineStr">
        <is>
          <t>No</t>
        </is>
      </c>
      <c r="P33" t="n">
        <v>0</v>
      </c>
      <c r="R33" t="n">
        <v>0</v>
      </c>
      <c r="S33" t="n">
        <v>0</v>
      </c>
      <c r="T33" t="n">
        <v>2</v>
      </c>
      <c r="U33" t="inlineStr">
        <is>
          <t>Yes</t>
        </is>
      </c>
      <c r="V33" t="inlineStr">
        <is>
          <t>No</t>
        </is>
      </c>
    </row>
    <row r="34">
      <c r="A34" s="2" t="inlineStr">
        <is>
          <t>p001</t>
        </is>
      </c>
      <c r="B34" s="3">
        <f>HYPERLINK("https://www.calstatela.edu/sites/default/files/p001.pdf", "https://www.calstatela.edu/sites/default/files/p001.pdf")</f>
        <v/>
      </c>
      <c r="C34" s="3">
        <f>HYPERLINK("https://www.calstatela.edu/studenthealthcenter/cal-state-la-cannabis-smoke-vape-and-tobacco-free", "https://www.calstatela.edu/studenthealthcenter/cal-state-la-cannabis-smoke-vape-and-tobacco-free")</f>
        <v/>
      </c>
      <c r="D34" s="2" t="inlineStr">
        <is>
          <t>2026-02-05 20:38:28</t>
        </is>
      </c>
      <c r="E34" s="2" t="inlineStr">
        <is>
          <t>aca57e</t>
        </is>
      </c>
      <c r="F34" s="2" t="inlineStr">
        <is>
          <t>calstatela.edu_studenthealthcenter</t>
        </is>
      </c>
      <c r="G34" s="2" t="inlineStr">
        <is>
          <t>CSULA-content-manager_eop</t>
        </is>
      </c>
      <c r="H34" s="2" t="n">
        <v>1</v>
      </c>
      <c r="I34" s="2" t="n">
        <v>9</v>
      </c>
      <c r="J34" s="2" t="inlineStr">
        <is>
          <t>No</t>
        </is>
      </c>
      <c r="K34" s="2" t="n">
        <v>1</v>
      </c>
      <c r="L34" s="2" t="inlineStr">
        <is>
          <t>No</t>
        </is>
      </c>
      <c r="M34" s="2" t="inlineStr">
        <is>
          <t>Yes</t>
        </is>
      </c>
      <c r="N34" s="2" t="n">
        <v>1</v>
      </c>
      <c r="O34" s="2" t="inlineStr">
        <is>
          <t>No</t>
        </is>
      </c>
      <c r="P34" s="2" t="n">
        <v>0</v>
      </c>
      <c r="Q34" s="2" t="n"/>
      <c r="R34" s="2" t="n">
        <v>0</v>
      </c>
      <c r="S34" s="2" t="n">
        <v>0</v>
      </c>
      <c r="T34" s="2" t="n">
        <v>9</v>
      </c>
      <c r="U34" s="2" t="inlineStr">
        <is>
          <t>No</t>
        </is>
      </c>
      <c r="V34" s="2" t="inlineStr">
        <is>
          <t>No</t>
        </is>
      </c>
    </row>
    <row r="35">
      <c r="A35" s="2" t="inlineStr">
        <is>
          <t>drug free campus policy</t>
        </is>
      </c>
      <c r="B35" s="3">
        <f>HYPERLINK("https://www.calstatela.edu/sites/default/files/drug-free_campus_policy.pdf", "https://www.calstatela.edu/sites/default/files/drug-free_campus_policy.pdf")</f>
        <v/>
      </c>
      <c r="C35" s="3">
        <f>HYPERLINK("https://www.calstatela.edu/studenthealthcenter/cal-state-la-cannabis-smoke-vape-and-tobacco-free", "https://www.calstatela.edu/studenthealthcenter/cal-state-la-cannabis-smoke-vape-and-tobacco-free")</f>
        <v/>
      </c>
      <c r="D35" s="2" t="inlineStr">
        <is>
          <t>2026-02-05 20:38:35</t>
        </is>
      </c>
      <c r="E35" s="2" t="inlineStr">
        <is>
          <t>8cc8c5</t>
        </is>
      </c>
      <c r="F35" s="2" t="inlineStr">
        <is>
          <t>calstatela.edu_studenthealthcenter</t>
        </is>
      </c>
      <c r="G35" s="2" t="inlineStr">
        <is>
          <t>CSULA-content-manager_eop</t>
        </is>
      </c>
      <c r="H35" s="2" t="n">
        <v>1</v>
      </c>
      <c r="I35" s="2" t="n">
        <v>6</v>
      </c>
      <c r="J35" s="2" t="inlineStr">
        <is>
          <t>No</t>
        </is>
      </c>
      <c r="K35" s="2" t="n">
        <v>0</v>
      </c>
      <c r="L35" s="2" t="inlineStr">
        <is>
          <t>No</t>
        </is>
      </c>
      <c r="M35" s="2" t="inlineStr">
        <is>
          <t>No</t>
        </is>
      </c>
      <c r="N35" s="2" t="n">
        <v>0</v>
      </c>
      <c r="O35" s="2" t="inlineStr">
        <is>
          <t>Yes</t>
        </is>
      </c>
      <c r="P35" s="2" t="n">
        <v>0</v>
      </c>
      <c r="Q35" s="2" t="n"/>
      <c r="R35" s="2" t="n">
        <v>0</v>
      </c>
      <c r="S35" s="2" t="n">
        <v>0</v>
      </c>
      <c r="T35" s="2" t="n">
        <v>0</v>
      </c>
      <c r="U35" s="2" t="inlineStr">
        <is>
          <t>No</t>
        </is>
      </c>
      <c r="V35" s="2" t="inlineStr">
        <is>
          <t>No</t>
        </is>
      </c>
    </row>
    <row r="36">
      <c r="A36" t="inlineStr">
        <is>
          <t>teens brochure 2013</t>
        </is>
      </c>
      <c r="B36" s="1">
        <f>HYPERLINK("https://nida.nih.gov/sites/default/files/teens_brochure_2013.pdf", "https://nida.nih.gov/sites/default/files/teens_brochure_2013.pdf")</f>
        <v/>
      </c>
      <c r="C36" s="1">
        <f>HYPERLINK("https://www.calstatela.edu/studenthealthcenter/cal-state-la-cannabis-smoke-vape-and-tobacco-free", "https://www.calstatela.edu/studenthealthcenter/cal-state-la-cannabis-smoke-vape-and-tobacco-free")</f>
        <v/>
      </c>
      <c r="D36" t="inlineStr">
        <is>
          <t>2026-02-05 20:38:46</t>
        </is>
      </c>
      <c r="E36" t="inlineStr">
        <is>
          <t>95f4e7</t>
        </is>
      </c>
      <c r="F36" t="inlineStr">
        <is>
          <t>calstatela.edu_studenthealthcenter</t>
        </is>
      </c>
      <c r="G36" t="inlineStr">
        <is>
          <t>CSULA-content-manager_eop</t>
        </is>
      </c>
      <c r="H36" t="n">
        <v>1</v>
      </c>
      <c r="I36" t="n">
        <v>6</v>
      </c>
      <c r="J36" t="inlineStr">
        <is>
          <t>No</t>
        </is>
      </c>
      <c r="K36" t="n">
        <v>1</v>
      </c>
      <c r="L36" t="inlineStr">
        <is>
          <t>No</t>
        </is>
      </c>
      <c r="M36" t="inlineStr">
        <is>
          <t>No</t>
        </is>
      </c>
      <c r="N36" t="n">
        <v>0</v>
      </c>
      <c r="O36" t="inlineStr">
        <is>
          <t>No</t>
        </is>
      </c>
      <c r="P36" t="n">
        <v>0</v>
      </c>
      <c r="R36" t="n">
        <v>0</v>
      </c>
      <c r="S36" t="n">
        <v>0</v>
      </c>
      <c r="T36" t="n">
        <v>0</v>
      </c>
      <c r="U36" t="inlineStr">
        <is>
          <t>Yes</t>
        </is>
      </c>
      <c r="V36" t="inlineStr">
        <is>
          <t>No</t>
        </is>
      </c>
    </row>
    <row r="37">
      <c r="A37" s="2" t="inlineStr">
        <is>
          <t>resolution support smoke free campus</t>
        </is>
      </c>
      <c r="B37" s="3">
        <f>HYPERLINK("https://asicalstatela.org/sites/default/files/content/upload/2017/05/resolution-support-smoke-free-campus.pdf", "https://asicalstatela.org/sites/default/files/content/upload/2017/05/resolution-support-smoke-free-campus.pdf")</f>
        <v/>
      </c>
      <c r="C37" s="3">
        <f>HYPERLINK("https://www.calstatela.edu/studenthealthcenter/cal-state-la-cannabis-smoke-vape-and-tobacco-free", "https://www.calstatela.edu/studenthealthcenter/cal-state-la-cannabis-smoke-vape-and-tobacco-free")</f>
        <v/>
      </c>
      <c r="D37" s="2" t="inlineStr">
        <is>
          <t>2026-02-05 20:38:53</t>
        </is>
      </c>
      <c r="E37" s="2" t="inlineStr">
        <is>
          <t>2d56fe</t>
        </is>
      </c>
      <c r="F37" s="2" t="inlineStr">
        <is>
          <t>calstatela.edu_studenthealthcenter</t>
        </is>
      </c>
      <c r="G37" s="2" t="inlineStr">
        <is>
          <t>CSULA-content-manager_eop</t>
        </is>
      </c>
      <c r="H37" s="2" t="n">
        <v>1</v>
      </c>
      <c r="I37" s="2" t="n">
        <v>7</v>
      </c>
      <c r="J37" s="2" t="inlineStr">
        <is>
          <t>No</t>
        </is>
      </c>
      <c r="K37" s="2" t="n">
        <v>0</v>
      </c>
      <c r="L37" s="2" t="inlineStr">
        <is>
          <t>No</t>
        </is>
      </c>
      <c r="M37" s="2" t="inlineStr">
        <is>
          <t>Yes</t>
        </is>
      </c>
      <c r="N37" s="2" t="n">
        <v>0</v>
      </c>
      <c r="O37" s="2" t="inlineStr">
        <is>
          <t>No</t>
        </is>
      </c>
      <c r="P37" s="2" t="n">
        <v>0</v>
      </c>
      <c r="Q37" s="2" t="n"/>
      <c r="R37" s="2" t="n">
        <v>0</v>
      </c>
      <c r="S37" s="2" t="n">
        <v>0</v>
      </c>
      <c r="T37" s="2" t="n">
        <v>0</v>
      </c>
      <c r="U37" s="2" t="inlineStr">
        <is>
          <t>No</t>
        </is>
      </c>
      <c r="V37" s="2" t="inlineStr">
        <is>
          <t>No</t>
        </is>
      </c>
    </row>
    <row r="38">
      <c r="A38" t="inlineStr">
        <is>
          <t>2025 Annual Security Report</t>
        </is>
      </c>
      <c r="B38" s="1">
        <f>HYPERLINK("https://www.calstatela.edu/sites/default/files/2025%20Annual%20Security%20Report.pdf", "https://www.calstatela.edu/sites/default/files/2025%20Annual%20Security%20Report.pdf")</f>
        <v/>
      </c>
      <c r="C38" s="1">
        <f>HYPERLINK("https://www.calstatela.edu/studenthealthcenter/cal-state-la-cannabis-smoke-vape-and-tobacco-free", "https://www.calstatela.edu/studenthealthcenter/cal-state-la-cannabis-smoke-vape-and-tobacco-free")</f>
        <v/>
      </c>
      <c r="D38" t="inlineStr">
        <is>
          <t>2026-02-05 20:38:53</t>
        </is>
      </c>
      <c r="E38" t="inlineStr">
        <is>
          <t>d35aba</t>
        </is>
      </c>
      <c r="F38" t="inlineStr">
        <is>
          <t>calstatela.edu_studenthealthcenter</t>
        </is>
      </c>
      <c r="G38" t="inlineStr">
        <is>
          <t>CSULA-content-manager_eop</t>
        </is>
      </c>
      <c r="H38" t="n">
        <v>1</v>
      </c>
      <c r="I38" t="n">
        <v>4</v>
      </c>
      <c r="J38" t="inlineStr">
        <is>
          <t>No</t>
        </is>
      </c>
      <c r="K38" t="n">
        <v>1</v>
      </c>
      <c r="L38" t="inlineStr">
        <is>
          <t>No</t>
        </is>
      </c>
      <c r="M38" t="inlineStr">
        <is>
          <t>Yes</t>
        </is>
      </c>
      <c r="N38" t="n">
        <v>1</v>
      </c>
      <c r="O38" t="inlineStr">
        <is>
          <t>No</t>
        </is>
      </c>
      <c r="P38" t="n">
        <v>0</v>
      </c>
      <c r="R38" t="n">
        <v>0</v>
      </c>
      <c r="S38" t="n">
        <v>0</v>
      </c>
      <c r="T38" t="n">
        <v>4</v>
      </c>
      <c r="U38" t="inlineStr">
        <is>
          <t>Yes</t>
        </is>
      </c>
      <c r="V38" t="inlineStr">
        <is>
          <t>No</t>
        </is>
      </c>
    </row>
    <row r="39">
      <c r="A39" t="inlineStr">
        <is>
          <t>2026 Campus Safety Plan</t>
        </is>
      </c>
      <c r="B39" s="1">
        <f>HYPERLINK("https://www.calstatela.edu/sites/default/files/2026%20Campus%20Safety%20Plan.pdf", "https://www.calstatela.edu/sites/default/files/2026%20Campus%20Safety%20Plan.pdf")</f>
        <v/>
      </c>
      <c r="C39" s="1">
        <f>HYPERLINK("https://www.calstatela.edu/studenthealthcenter/cal-state-la-cannabis-smoke-vape-and-tobacco-free", "https://www.calstatela.edu/studenthealthcenter/cal-state-la-cannabis-smoke-vape-and-tobacco-free")</f>
        <v/>
      </c>
      <c r="D39" t="inlineStr">
        <is>
          <t>2026-02-05 20:38:53</t>
        </is>
      </c>
      <c r="E39" t="inlineStr">
        <is>
          <t>69529a</t>
        </is>
      </c>
      <c r="F39" t="inlineStr">
        <is>
          <t>calstatela.edu_studenthealthcenter</t>
        </is>
      </c>
      <c r="G39" t="inlineStr">
        <is>
          <t>CSULA-content-manager_eop</t>
        </is>
      </c>
      <c r="H39" t="n">
        <v>1</v>
      </c>
      <c r="I39" t="n">
        <v>2</v>
      </c>
      <c r="J39" t="inlineStr">
        <is>
          <t>No</t>
        </is>
      </c>
      <c r="K39" t="n">
        <v>1</v>
      </c>
      <c r="L39" t="inlineStr">
        <is>
          <t>No</t>
        </is>
      </c>
      <c r="M39" t="inlineStr">
        <is>
          <t>Yes</t>
        </is>
      </c>
      <c r="N39" t="n">
        <v>1</v>
      </c>
      <c r="O39" t="inlineStr">
        <is>
          <t>No</t>
        </is>
      </c>
      <c r="P39" t="n">
        <v>0</v>
      </c>
      <c r="R39" t="n">
        <v>0</v>
      </c>
      <c r="S39" t="n">
        <v>0</v>
      </c>
      <c r="T39" t="n">
        <v>2</v>
      </c>
      <c r="U39" t="inlineStr">
        <is>
          <t>Yes</t>
        </is>
      </c>
      <c r="V39" t="inlineStr">
        <is>
          <t>No</t>
        </is>
      </c>
    </row>
    <row r="40">
      <c r="A40" t="inlineStr">
        <is>
          <t>2025 Annual Security Report</t>
        </is>
      </c>
      <c r="B40" s="1">
        <f>HYPERLINK("https://www.calstatela.edu/sites/default/files/2025%20Annual%20Security%20Report.pdf", "https://www.calstatela.edu/sites/default/files/2025%20Annual%20Security%20Report.pdf")</f>
        <v/>
      </c>
      <c r="C40" s="1">
        <f>HYPERLINK("https://www.calstatela.edu/studenthealthcenter/measles-what-you-need-know", "https://www.calstatela.edu/studenthealthcenter/measles-what-you-need-know")</f>
        <v/>
      </c>
      <c r="D40" t="inlineStr">
        <is>
          <t>2026-02-05 20:38:53</t>
        </is>
      </c>
      <c r="E40" t="inlineStr">
        <is>
          <t>d35aba</t>
        </is>
      </c>
      <c r="F40" t="inlineStr">
        <is>
          <t>calstatela.edu_studenthealthcenter</t>
        </is>
      </c>
      <c r="G40" t="inlineStr">
        <is>
          <t>CSULA-content-manager_eop</t>
        </is>
      </c>
      <c r="H40" t="n">
        <v>1</v>
      </c>
      <c r="I40" t="n">
        <v>4</v>
      </c>
      <c r="J40" t="inlineStr">
        <is>
          <t>No</t>
        </is>
      </c>
      <c r="K40" t="n">
        <v>1</v>
      </c>
      <c r="L40" t="inlineStr">
        <is>
          <t>No</t>
        </is>
      </c>
      <c r="M40" t="inlineStr">
        <is>
          <t>Yes</t>
        </is>
      </c>
      <c r="N40" t="n">
        <v>1</v>
      </c>
      <c r="O40" t="inlineStr">
        <is>
          <t>No</t>
        </is>
      </c>
      <c r="P40" t="n">
        <v>0</v>
      </c>
      <c r="R40" t="n">
        <v>0</v>
      </c>
      <c r="S40" t="n">
        <v>0</v>
      </c>
      <c r="T40" t="n">
        <v>4</v>
      </c>
      <c r="U40" t="inlineStr">
        <is>
          <t>Yes</t>
        </is>
      </c>
      <c r="V40" t="inlineStr">
        <is>
          <t>No</t>
        </is>
      </c>
    </row>
    <row r="41">
      <c r="A41" t="inlineStr">
        <is>
          <t>2026 Campus Safety Plan</t>
        </is>
      </c>
      <c r="B41" s="1">
        <f>HYPERLINK("https://www.calstatela.edu/sites/default/files/2026%20Campus%20Safety%20Plan.pdf", "https://www.calstatela.edu/sites/default/files/2026%20Campus%20Safety%20Plan.pdf")</f>
        <v/>
      </c>
      <c r="C41" s="1">
        <f>HYPERLINK("https://www.calstatela.edu/studenthealthcenter/measles-what-you-need-know", "https://www.calstatela.edu/studenthealthcenter/measles-what-you-need-know")</f>
        <v/>
      </c>
      <c r="D41" t="inlineStr">
        <is>
          <t>2026-02-05 20:38:53</t>
        </is>
      </c>
      <c r="E41" t="inlineStr">
        <is>
          <t>69529a</t>
        </is>
      </c>
      <c r="F41" t="inlineStr">
        <is>
          <t>calstatela.edu_studenthealthcenter</t>
        </is>
      </c>
      <c r="G41" t="inlineStr">
        <is>
          <t>CSULA-content-manager_eop</t>
        </is>
      </c>
      <c r="H41" t="n">
        <v>1</v>
      </c>
      <c r="I41" t="n">
        <v>2</v>
      </c>
      <c r="J41" t="inlineStr">
        <is>
          <t>No</t>
        </is>
      </c>
      <c r="K41" t="n">
        <v>1</v>
      </c>
      <c r="L41" t="inlineStr">
        <is>
          <t>No</t>
        </is>
      </c>
      <c r="M41" t="inlineStr">
        <is>
          <t>Yes</t>
        </is>
      </c>
      <c r="N41" t="n">
        <v>1</v>
      </c>
      <c r="O41" t="inlineStr">
        <is>
          <t>No</t>
        </is>
      </c>
      <c r="P41" t="n">
        <v>0</v>
      </c>
      <c r="R41" t="n">
        <v>0</v>
      </c>
      <c r="S41" t="n">
        <v>0</v>
      </c>
      <c r="T41" t="n">
        <v>2</v>
      </c>
      <c r="U41" t="inlineStr">
        <is>
          <t>Yes</t>
        </is>
      </c>
      <c r="V41" t="inlineStr">
        <is>
          <t>No</t>
        </is>
      </c>
    </row>
    <row r="42">
      <c r="A42" t="inlineStr">
        <is>
          <t>2025 Annual Security Report</t>
        </is>
      </c>
      <c r="B42" s="1">
        <f>HYPERLINK("https://www.calstatela.edu/sites/default/files/2025%20Annual%20Security%20Report.pdf", "https://www.calstatela.edu/sites/default/files/2025%20Annual%20Security%20Report.pdf")</f>
        <v/>
      </c>
      <c r="C42" s="1">
        <f>HYPERLINK("https://www.calstatela.edu/studenthealthcenter/alcohol-and-you", "https://www.calstatela.edu/studenthealthcenter/alcohol-and-you")</f>
        <v/>
      </c>
      <c r="D42" t="inlineStr">
        <is>
          <t>2026-02-05 20:38:53</t>
        </is>
      </c>
      <c r="E42" t="inlineStr">
        <is>
          <t>d35aba</t>
        </is>
      </c>
      <c r="F42" t="inlineStr">
        <is>
          <t>calstatela.edu_studenthealthcenter</t>
        </is>
      </c>
      <c r="G42" t="inlineStr">
        <is>
          <t>CSULA-content-manager_eop</t>
        </is>
      </c>
      <c r="H42" t="n">
        <v>1</v>
      </c>
      <c r="I42" t="n">
        <v>4</v>
      </c>
      <c r="J42" t="inlineStr">
        <is>
          <t>No</t>
        </is>
      </c>
      <c r="K42" t="n">
        <v>1</v>
      </c>
      <c r="L42" t="inlineStr">
        <is>
          <t>No</t>
        </is>
      </c>
      <c r="M42" t="inlineStr">
        <is>
          <t>Yes</t>
        </is>
      </c>
      <c r="N42" t="n">
        <v>1</v>
      </c>
      <c r="O42" t="inlineStr">
        <is>
          <t>No</t>
        </is>
      </c>
      <c r="P42" t="n">
        <v>0</v>
      </c>
      <c r="R42" t="n">
        <v>0</v>
      </c>
      <c r="S42" t="n">
        <v>0</v>
      </c>
      <c r="T42" t="n">
        <v>4</v>
      </c>
      <c r="U42" t="inlineStr">
        <is>
          <t>Yes</t>
        </is>
      </c>
      <c r="V42" t="inlineStr">
        <is>
          <t>No</t>
        </is>
      </c>
    </row>
    <row r="43">
      <c r="A43" t="inlineStr">
        <is>
          <t>2026 Campus Safety Plan</t>
        </is>
      </c>
      <c r="B43" s="1">
        <f>HYPERLINK("https://www.calstatela.edu/sites/default/files/2026%20Campus%20Safety%20Plan.pdf", "https://www.calstatela.edu/sites/default/files/2026%20Campus%20Safety%20Plan.pdf")</f>
        <v/>
      </c>
      <c r="C43" s="1">
        <f>HYPERLINK("https://www.calstatela.edu/studenthealthcenter/alcohol-and-you", "https://www.calstatela.edu/studenthealthcenter/alcohol-and-you")</f>
        <v/>
      </c>
      <c r="D43" t="inlineStr">
        <is>
          <t>2026-02-05 20:38:53</t>
        </is>
      </c>
      <c r="E43" t="inlineStr">
        <is>
          <t>69529a</t>
        </is>
      </c>
      <c r="F43" t="inlineStr">
        <is>
          <t>calstatela.edu_studenthealthcenter</t>
        </is>
      </c>
      <c r="G43" t="inlineStr">
        <is>
          <t>CSULA-content-manager_eop</t>
        </is>
      </c>
      <c r="H43" t="n">
        <v>1</v>
      </c>
      <c r="I43" t="n">
        <v>2</v>
      </c>
      <c r="J43" t="inlineStr">
        <is>
          <t>No</t>
        </is>
      </c>
      <c r="K43" t="n">
        <v>1</v>
      </c>
      <c r="L43" t="inlineStr">
        <is>
          <t>No</t>
        </is>
      </c>
      <c r="M43" t="inlineStr">
        <is>
          <t>Yes</t>
        </is>
      </c>
      <c r="N43" t="n">
        <v>1</v>
      </c>
      <c r="O43" t="inlineStr">
        <is>
          <t>No</t>
        </is>
      </c>
      <c r="P43" t="n">
        <v>0</v>
      </c>
      <c r="R43" t="n">
        <v>0</v>
      </c>
      <c r="S43" t="n">
        <v>0</v>
      </c>
      <c r="T43" t="n">
        <v>2</v>
      </c>
      <c r="U43" t="inlineStr">
        <is>
          <t>Yes</t>
        </is>
      </c>
      <c r="V43" t="inlineStr">
        <is>
          <t>No</t>
        </is>
      </c>
    </row>
    <row r="44">
      <c r="A44" t="inlineStr">
        <is>
          <t>2025 Annual Security Report</t>
        </is>
      </c>
      <c r="B44" s="1">
        <f>HYPERLINK("https://www.calstatela.edu/sites/default/files/2025%20Annual%20Security%20Report.pdf", "https://www.calstatela.edu/sites/default/files/2025%20Annual%20Security%20Report.pdf")</f>
        <v/>
      </c>
      <c r="C44" s="1">
        <f>HYPERLINK("https://www.calstatela.edu/studenthealthcenter/naloxone-training", "https://www.calstatela.edu/studenthealthcenter/naloxone-training")</f>
        <v/>
      </c>
      <c r="D44" t="inlineStr">
        <is>
          <t>2026-02-05 20:38:53</t>
        </is>
      </c>
      <c r="E44" t="inlineStr">
        <is>
          <t>d35aba</t>
        </is>
      </c>
      <c r="F44" t="inlineStr">
        <is>
          <t>calstatela.edu_studenthealthcenter</t>
        </is>
      </c>
      <c r="G44" t="inlineStr">
        <is>
          <t>CSULA-content-manager_eop</t>
        </is>
      </c>
      <c r="H44" t="n">
        <v>1</v>
      </c>
      <c r="I44" t="n">
        <v>4</v>
      </c>
      <c r="J44" t="inlineStr">
        <is>
          <t>No</t>
        </is>
      </c>
      <c r="K44" t="n">
        <v>1</v>
      </c>
      <c r="L44" t="inlineStr">
        <is>
          <t>No</t>
        </is>
      </c>
      <c r="M44" t="inlineStr">
        <is>
          <t>Yes</t>
        </is>
      </c>
      <c r="N44" t="n">
        <v>1</v>
      </c>
      <c r="O44" t="inlineStr">
        <is>
          <t>No</t>
        </is>
      </c>
      <c r="P44" t="n">
        <v>0</v>
      </c>
      <c r="R44" t="n">
        <v>0</v>
      </c>
      <c r="S44" t="n">
        <v>0</v>
      </c>
      <c r="T44" t="n">
        <v>4</v>
      </c>
      <c r="U44" t="inlineStr">
        <is>
          <t>Yes</t>
        </is>
      </c>
      <c r="V44" t="inlineStr">
        <is>
          <t>No</t>
        </is>
      </c>
    </row>
    <row r="45">
      <c r="A45" t="inlineStr">
        <is>
          <t>2026 Campus Safety Plan</t>
        </is>
      </c>
      <c r="B45" s="1">
        <f>HYPERLINK("https://www.calstatela.edu/sites/default/files/2026%20Campus%20Safety%20Plan.pdf", "https://www.calstatela.edu/sites/default/files/2026%20Campus%20Safety%20Plan.pdf")</f>
        <v/>
      </c>
      <c r="C45" s="1">
        <f>HYPERLINK("https://www.calstatela.edu/studenthealthcenter/naloxone-training", "https://www.calstatela.edu/studenthealthcenter/naloxone-training")</f>
        <v/>
      </c>
      <c r="D45" t="inlineStr">
        <is>
          <t>2026-02-05 20:38:53</t>
        </is>
      </c>
      <c r="E45" t="inlineStr">
        <is>
          <t>69529a</t>
        </is>
      </c>
      <c r="F45" t="inlineStr">
        <is>
          <t>calstatela.edu_studenthealthcenter</t>
        </is>
      </c>
      <c r="G45" t="inlineStr">
        <is>
          <t>CSULA-content-manager_eop</t>
        </is>
      </c>
      <c r="H45" t="n">
        <v>1</v>
      </c>
      <c r="I45" t="n">
        <v>2</v>
      </c>
      <c r="J45" t="inlineStr">
        <is>
          <t>No</t>
        </is>
      </c>
      <c r="K45" t="n">
        <v>1</v>
      </c>
      <c r="L45" t="inlineStr">
        <is>
          <t>No</t>
        </is>
      </c>
      <c r="M45" t="inlineStr">
        <is>
          <t>Yes</t>
        </is>
      </c>
      <c r="N45" t="n">
        <v>1</v>
      </c>
      <c r="O45" t="inlineStr">
        <is>
          <t>No</t>
        </is>
      </c>
      <c r="P45" t="n">
        <v>0</v>
      </c>
      <c r="R45" t="n">
        <v>0</v>
      </c>
      <c r="S45" t="n">
        <v>0</v>
      </c>
      <c r="T45" t="n">
        <v>2</v>
      </c>
      <c r="U45" t="inlineStr">
        <is>
          <t>Yes</t>
        </is>
      </c>
      <c r="V45" t="inlineStr">
        <is>
          <t>No</t>
        </is>
      </c>
    </row>
    <row r="46">
      <c r="A46" t="inlineStr">
        <is>
          <t>2025 Annual Security Report</t>
        </is>
      </c>
      <c r="B46" s="1">
        <f>HYPERLINK("https://www.calstatela.edu/sites/default/files/2025%20Annual%20Security%20Report.pdf", "https://www.calstatela.edu/sites/default/files/2025%20Annual%20Security%20Report.pdf")</f>
        <v/>
      </c>
      <c r="C46" s="1">
        <f>HYPERLINK("https://www.calstatela.edu/studenthealthcenter/mental-health-first-aid-training", "https://www.calstatela.edu/studenthealthcenter/mental-health-first-aid-training")</f>
        <v/>
      </c>
      <c r="D46" t="inlineStr">
        <is>
          <t>2026-02-05 20:38:53</t>
        </is>
      </c>
      <c r="E46" t="inlineStr">
        <is>
          <t>d35aba</t>
        </is>
      </c>
      <c r="F46" t="inlineStr">
        <is>
          <t>calstatela.edu_studenthealthcenter</t>
        </is>
      </c>
      <c r="G46" t="inlineStr">
        <is>
          <t>CSULA-content-manager_eop</t>
        </is>
      </c>
      <c r="H46" t="n">
        <v>1</v>
      </c>
      <c r="I46" t="n">
        <v>4</v>
      </c>
      <c r="J46" t="inlineStr">
        <is>
          <t>No</t>
        </is>
      </c>
      <c r="K46" t="n">
        <v>1</v>
      </c>
      <c r="L46" t="inlineStr">
        <is>
          <t>No</t>
        </is>
      </c>
      <c r="M46" t="inlineStr">
        <is>
          <t>Yes</t>
        </is>
      </c>
      <c r="N46" t="n">
        <v>1</v>
      </c>
      <c r="O46" t="inlineStr">
        <is>
          <t>No</t>
        </is>
      </c>
      <c r="P46" t="n">
        <v>0</v>
      </c>
      <c r="R46" t="n">
        <v>0</v>
      </c>
      <c r="S46" t="n">
        <v>0</v>
      </c>
      <c r="T46" t="n">
        <v>4</v>
      </c>
      <c r="U46" t="inlineStr">
        <is>
          <t>Yes</t>
        </is>
      </c>
      <c r="V46" t="inlineStr">
        <is>
          <t>No</t>
        </is>
      </c>
    </row>
    <row r="47">
      <c r="A47" t="inlineStr">
        <is>
          <t>2026 Campus Safety Plan</t>
        </is>
      </c>
      <c r="B47" s="1">
        <f>HYPERLINK("https://www.calstatela.edu/sites/default/files/2026%20Campus%20Safety%20Plan.pdf", "https://www.calstatela.edu/sites/default/files/2026%20Campus%20Safety%20Plan.pdf")</f>
        <v/>
      </c>
      <c r="C47" s="1">
        <f>HYPERLINK("https://www.calstatela.edu/studenthealthcenter/mental-health-first-aid-training", "https://www.calstatela.edu/studenthealthcenter/mental-health-first-aid-training")</f>
        <v/>
      </c>
      <c r="D47" t="inlineStr">
        <is>
          <t>2026-02-05 20:38:53</t>
        </is>
      </c>
      <c r="E47" t="inlineStr">
        <is>
          <t>69529a</t>
        </is>
      </c>
      <c r="F47" t="inlineStr">
        <is>
          <t>calstatela.edu_studenthealthcenter</t>
        </is>
      </c>
      <c r="G47" t="inlineStr">
        <is>
          <t>CSULA-content-manager_eop</t>
        </is>
      </c>
      <c r="H47" t="n">
        <v>1</v>
      </c>
      <c r="I47" t="n">
        <v>2</v>
      </c>
      <c r="J47" t="inlineStr">
        <is>
          <t>No</t>
        </is>
      </c>
      <c r="K47" t="n">
        <v>1</v>
      </c>
      <c r="L47" t="inlineStr">
        <is>
          <t>No</t>
        </is>
      </c>
      <c r="M47" t="inlineStr">
        <is>
          <t>Yes</t>
        </is>
      </c>
      <c r="N47" t="n">
        <v>1</v>
      </c>
      <c r="O47" t="inlineStr">
        <is>
          <t>No</t>
        </is>
      </c>
      <c r="P47" t="n">
        <v>0</v>
      </c>
      <c r="R47" t="n">
        <v>0</v>
      </c>
      <c r="S47" t="n">
        <v>0</v>
      </c>
      <c r="T47" t="n">
        <v>2</v>
      </c>
      <c r="U47" t="inlineStr">
        <is>
          <t>Yes</t>
        </is>
      </c>
      <c r="V47" t="inlineStr">
        <is>
          <t>No</t>
        </is>
      </c>
    </row>
    <row r="48">
      <c r="A48" s="2" t="inlineStr">
        <is>
          <t>splip 1718 insurance summary</t>
        </is>
      </c>
      <c r="B48" s="3">
        <f>HYPERLINK("https://www.calstatela.edu/sites/default/files/splip_-_1718_insurance_summary.pdf", "https://www.calstatela.edu/sites/default/files/splip_-_1718_insurance_summary.pdf")</f>
        <v/>
      </c>
      <c r="C48" s="3">
        <f>HYPERLINK("https://www.calstatela.edu/studenthealthcenter/ph-4960-internship-program", "https://www.calstatela.edu/studenthealthcenter/ph-4960-internship-program")</f>
        <v/>
      </c>
      <c r="D48" s="2" t="inlineStr">
        <is>
          <t>2026-02-05 20:39:02</t>
        </is>
      </c>
      <c r="E48" s="2" t="inlineStr">
        <is>
          <t>dc71ae</t>
        </is>
      </c>
      <c r="F48" s="2" t="inlineStr">
        <is>
          <t>calstatela.edu_studenthealthcenter</t>
        </is>
      </c>
      <c r="G48" s="2" t="inlineStr">
        <is>
          <t>CSULA-content-manager_eop</t>
        </is>
      </c>
      <c r="H48" s="2" t="n">
        <v>1</v>
      </c>
      <c r="I48" s="2" t="n">
        <v>7</v>
      </c>
      <c r="J48" s="2" t="inlineStr">
        <is>
          <t>No</t>
        </is>
      </c>
      <c r="K48" s="2" t="n">
        <v>1</v>
      </c>
      <c r="L48" s="2" t="inlineStr">
        <is>
          <t>No</t>
        </is>
      </c>
      <c r="M48" s="2" t="inlineStr">
        <is>
          <t>No</t>
        </is>
      </c>
      <c r="N48" s="2" t="n">
        <v>1</v>
      </c>
      <c r="O48" s="2" t="inlineStr">
        <is>
          <t>No</t>
        </is>
      </c>
      <c r="P48" s="2" t="n">
        <v>0</v>
      </c>
      <c r="Q48" s="2" t="n"/>
      <c r="R48" s="2" t="n">
        <v>0</v>
      </c>
      <c r="S48" s="2" t="n">
        <v>0</v>
      </c>
      <c r="T48" s="2" t="n">
        <v>7</v>
      </c>
      <c r="U48" s="2" t="inlineStr">
        <is>
          <t>No</t>
        </is>
      </c>
      <c r="V48" s="2" t="inlineStr">
        <is>
          <t>No</t>
        </is>
      </c>
    </row>
    <row r="49">
      <c r="A49" t="inlineStr">
        <is>
          <t>2025 Annual Security Report</t>
        </is>
      </c>
      <c r="B49" s="1">
        <f>HYPERLINK("https://www.calstatela.edu/sites/default/files/2025%20Annual%20Security%20Report.pdf", "https://www.calstatela.edu/sites/default/files/2025%20Annual%20Security%20Report.pdf")</f>
        <v/>
      </c>
      <c r="C49" s="1">
        <f>HYPERLINK("https://www.calstatela.edu/studenthealthcenter/ph-4960-internship-program", "https://www.calstatela.edu/studenthealthcenter/ph-4960-internship-program")</f>
        <v/>
      </c>
      <c r="D49" t="inlineStr">
        <is>
          <t>2026-02-05 20:39:02</t>
        </is>
      </c>
      <c r="E49" t="inlineStr">
        <is>
          <t>d35aba</t>
        </is>
      </c>
      <c r="F49" t="inlineStr">
        <is>
          <t>calstatela.edu_studenthealthcenter</t>
        </is>
      </c>
      <c r="G49" t="inlineStr">
        <is>
          <t>CSULA-content-manager_eop</t>
        </is>
      </c>
      <c r="H49" t="n">
        <v>1</v>
      </c>
      <c r="I49" t="n">
        <v>4</v>
      </c>
      <c r="J49" t="inlineStr">
        <is>
          <t>No</t>
        </is>
      </c>
      <c r="K49" t="n">
        <v>1</v>
      </c>
      <c r="L49" t="inlineStr">
        <is>
          <t>No</t>
        </is>
      </c>
      <c r="M49" t="inlineStr">
        <is>
          <t>Yes</t>
        </is>
      </c>
      <c r="N49" t="n">
        <v>1</v>
      </c>
      <c r="O49" t="inlineStr">
        <is>
          <t>No</t>
        </is>
      </c>
      <c r="P49" t="n">
        <v>0</v>
      </c>
      <c r="R49" t="n">
        <v>0</v>
      </c>
      <c r="S49" t="n">
        <v>0</v>
      </c>
      <c r="T49" t="n">
        <v>4</v>
      </c>
      <c r="U49" t="inlineStr">
        <is>
          <t>Yes</t>
        </is>
      </c>
      <c r="V49" t="inlineStr">
        <is>
          <t>No</t>
        </is>
      </c>
    </row>
    <row r="50">
      <c r="A50" t="inlineStr">
        <is>
          <t>2026 Campus Safety Plan</t>
        </is>
      </c>
      <c r="B50" s="1">
        <f>HYPERLINK("https://www.calstatela.edu/sites/default/files/2026%20Campus%20Safety%20Plan.pdf", "https://www.calstatela.edu/sites/default/files/2026%20Campus%20Safety%20Plan.pdf")</f>
        <v/>
      </c>
      <c r="C50" s="1">
        <f>HYPERLINK("https://www.calstatela.edu/studenthealthcenter/ph-4960-internship-program", "https://www.calstatela.edu/studenthealthcenter/ph-4960-internship-program")</f>
        <v/>
      </c>
      <c r="D50" t="inlineStr">
        <is>
          <t>2026-02-05 20:39:02</t>
        </is>
      </c>
      <c r="E50" t="inlineStr">
        <is>
          <t>69529a</t>
        </is>
      </c>
      <c r="F50" t="inlineStr">
        <is>
          <t>calstatela.edu_studenthealthcenter</t>
        </is>
      </c>
      <c r="G50" t="inlineStr">
        <is>
          <t>CSULA-content-manager_eop</t>
        </is>
      </c>
      <c r="H50" t="n">
        <v>1</v>
      </c>
      <c r="I50" t="n">
        <v>2</v>
      </c>
      <c r="J50" t="inlineStr">
        <is>
          <t>No</t>
        </is>
      </c>
      <c r="K50" t="n">
        <v>1</v>
      </c>
      <c r="L50" t="inlineStr">
        <is>
          <t>No</t>
        </is>
      </c>
      <c r="M50" t="inlineStr">
        <is>
          <t>Yes</t>
        </is>
      </c>
      <c r="N50" t="n">
        <v>1</v>
      </c>
      <c r="O50" t="inlineStr">
        <is>
          <t>No</t>
        </is>
      </c>
      <c r="P50" t="n">
        <v>0</v>
      </c>
      <c r="R50" t="n">
        <v>0</v>
      </c>
      <c r="S50" t="n">
        <v>0</v>
      </c>
      <c r="T50" t="n">
        <v>2</v>
      </c>
      <c r="U50" t="inlineStr">
        <is>
          <t>Yes</t>
        </is>
      </c>
      <c r="V50" t="inlineStr">
        <is>
          <t>No</t>
        </is>
      </c>
    </row>
    <row r="51">
      <c r="A51" t="inlineStr">
        <is>
          <t>2025 Annual Security Report</t>
        </is>
      </c>
      <c r="B51" s="1">
        <f>HYPERLINK("https://www.calstatela.edu/sites/default/files/2025%20Annual%20Security%20Report.pdf", "https://www.calstatela.edu/sites/default/files/2025%20Annual%20Security%20Report.pdf")</f>
        <v/>
      </c>
      <c r="C51" s="1">
        <f>HYPERLINK("https://www.calstatela.edu/studenthealthcenter/peace-over-violence", "https://www.calstatela.edu/studenthealthcenter/peace-over-violence")</f>
        <v/>
      </c>
      <c r="D51" t="inlineStr">
        <is>
          <t>2026-02-05 20:39:02</t>
        </is>
      </c>
      <c r="E51" t="inlineStr">
        <is>
          <t>d35aba</t>
        </is>
      </c>
      <c r="F51" t="inlineStr">
        <is>
          <t>calstatela.edu_studenthealthcenter</t>
        </is>
      </c>
      <c r="G51" t="inlineStr">
        <is>
          <t>CSULA-content-manager_eop</t>
        </is>
      </c>
      <c r="H51" t="n">
        <v>1</v>
      </c>
      <c r="I51" t="n">
        <v>4</v>
      </c>
      <c r="J51" t="inlineStr">
        <is>
          <t>No</t>
        </is>
      </c>
      <c r="K51" t="n">
        <v>1</v>
      </c>
      <c r="L51" t="inlineStr">
        <is>
          <t>No</t>
        </is>
      </c>
      <c r="M51" t="inlineStr">
        <is>
          <t>Yes</t>
        </is>
      </c>
      <c r="N51" t="n">
        <v>1</v>
      </c>
      <c r="O51" t="inlineStr">
        <is>
          <t>No</t>
        </is>
      </c>
      <c r="P51" t="n">
        <v>0</v>
      </c>
      <c r="R51" t="n">
        <v>0</v>
      </c>
      <c r="S51" t="n">
        <v>0</v>
      </c>
      <c r="T51" t="n">
        <v>4</v>
      </c>
      <c r="U51" t="inlineStr">
        <is>
          <t>Yes</t>
        </is>
      </c>
      <c r="V51" t="inlineStr">
        <is>
          <t>No</t>
        </is>
      </c>
    </row>
    <row r="52">
      <c r="A52" t="inlineStr">
        <is>
          <t>2026 Campus Safety Plan</t>
        </is>
      </c>
      <c r="B52" s="1">
        <f>HYPERLINK("https://www.calstatela.edu/sites/default/files/2026%20Campus%20Safety%20Plan.pdf", "https://www.calstatela.edu/sites/default/files/2026%20Campus%20Safety%20Plan.pdf")</f>
        <v/>
      </c>
      <c r="C52" s="1">
        <f>HYPERLINK("https://www.calstatela.edu/studenthealthcenter/peace-over-violence", "https://www.calstatela.edu/studenthealthcenter/peace-over-violence")</f>
        <v/>
      </c>
      <c r="D52" t="inlineStr">
        <is>
          <t>2026-02-05 20:39:02</t>
        </is>
      </c>
      <c r="E52" t="inlineStr">
        <is>
          <t>69529a</t>
        </is>
      </c>
      <c r="F52" t="inlineStr">
        <is>
          <t>calstatela.edu_studenthealthcenter</t>
        </is>
      </c>
      <c r="G52" t="inlineStr">
        <is>
          <t>CSULA-content-manager_eop</t>
        </is>
      </c>
      <c r="H52" t="n">
        <v>1</v>
      </c>
      <c r="I52" t="n">
        <v>2</v>
      </c>
      <c r="J52" t="inlineStr">
        <is>
          <t>No</t>
        </is>
      </c>
      <c r="K52" t="n">
        <v>1</v>
      </c>
      <c r="L52" t="inlineStr">
        <is>
          <t>No</t>
        </is>
      </c>
      <c r="M52" t="inlineStr">
        <is>
          <t>Yes</t>
        </is>
      </c>
      <c r="N52" t="n">
        <v>1</v>
      </c>
      <c r="O52" t="inlineStr">
        <is>
          <t>No</t>
        </is>
      </c>
      <c r="P52" t="n">
        <v>0</v>
      </c>
      <c r="R52" t="n">
        <v>0</v>
      </c>
      <c r="S52" t="n">
        <v>0</v>
      </c>
      <c r="T52" t="n">
        <v>2</v>
      </c>
      <c r="U52" t="inlineStr">
        <is>
          <t>Yes</t>
        </is>
      </c>
      <c r="V52" t="inlineStr">
        <is>
          <t>No</t>
        </is>
      </c>
    </row>
    <row r="53">
      <c r="A53" t="inlineStr">
        <is>
          <t>2025 Annual Security Report</t>
        </is>
      </c>
      <c r="B53" s="1">
        <f>HYPERLINK("https://www.calstatela.edu/sites/default/files/2025%20Annual%20Security%20Report.pdf", "https://www.calstatela.edu/sites/default/files/2025%20Annual%20Security%20Report.pdf")</f>
        <v/>
      </c>
      <c r="C53" s="1">
        <f>HYPERLINK("https://www.calstatela.edu/studenthealthcenter/caps", "https://www.calstatela.edu/studenthealthcenter/caps")</f>
        <v/>
      </c>
      <c r="D53" t="inlineStr">
        <is>
          <t>2026-02-05 20:39:02</t>
        </is>
      </c>
      <c r="E53" t="inlineStr">
        <is>
          <t>d35aba</t>
        </is>
      </c>
      <c r="F53" t="inlineStr">
        <is>
          <t>calstatela.edu_studenthealthcenter</t>
        </is>
      </c>
      <c r="G53" t="inlineStr">
        <is>
          <t>CSULA-content-manager_eop</t>
        </is>
      </c>
      <c r="H53" t="n">
        <v>1</v>
      </c>
      <c r="I53" t="n">
        <v>4</v>
      </c>
      <c r="J53" t="inlineStr">
        <is>
          <t>No</t>
        </is>
      </c>
      <c r="K53" t="n">
        <v>1</v>
      </c>
      <c r="L53" t="inlineStr">
        <is>
          <t>No</t>
        </is>
      </c>
      <c r="M53" t="inlineStr">
        <is>
          <t>Yes</t>
        </is>
      </c>
      <c r="N53" t="n">
        <v>1</v>
      </c>
      <c r="O53" t="inlineStr">
        <is>
          <t>No</t>
        </is>
      </c>
      <c r="P53" t="n">
        <v>0</v>
      </c>
      <c r="R53" t="n">
        <v>0</v>
      </c>
      <c r="S53" t="n">
        <v>0</v>
      </c>
      <c r="T53" t="n">
        <v>4</v>
      </c>
      <c r="U53" t="inlineStr">
        <is>
          <t>Yes</t>
        </is>
      </c>
      <c r="V53" t="inlineStr">
        <is>
          <t>No</t>
        </is>
      </c>
    </row>
    <row r="54">
      <c r="A54" t="inlineStr">
        <is>
          <t>2026 Campus Safety Plan</t>
        </is>
      </c>
      <c r="B54" s="1">
        <f>HYPERLINK("https://www.calstatela.edu/sites/default/files/2026%20Campus%20Safety%20Plan.pdf", "https://www.calstatela.edu/sites/default/files/2026%20Campus%20Safety%20Plan.pdf")</f>
        <v/>
      </c>
      <c r="C54" s="1">
        <f>HYPERLINK("https://www.calstatela.edu/studenthealthcenter/caps", "https://www.calstatela.edu/studenthealthcenter/caps")</f>
        <v/>
      </c>
      <c r="D54" t="inlineStr">
        <is>
          <t>2026-02-05 20:39:02</t>
        </is>
      </c>
      <c r="E54" t="inlineStr">
        <is>
          <t>69529a</t>
        </is>
      </c>
      <c r="F54" t="inlineStr">
        <is>
          <t>calstatela.edu_studenthealthcenter</t>
        </is>
      </c>
      <c r="G54" t="inlineStr">
        <is>
          <t>CSULA-content-manager_eop</t>
        </is>
      </c>
      <c r="H54" t="n">
        <v>1</v>
      </c>
      <c r="I54" t="n">
        <v>2</v>
      </c>
      <c r="J54" t="inlineStr">
        <is>
          <t>No</t>
        </is>
      </c>
      <c r="K54" t="n">
        <v>1</v>
      </c>
      <c r="L54" t="inlineStr">
        <is>
          <t>No</t>
        </is>
      </c>
      <c r="M54" t="inlineStr">
        <is>
          <t>Yes</t>
        </is>
      </c>
      <c r="N54" t="n">
        <v>1</v>
      </c>
      <c r="O54" t="inlineStr">
        <is>
          <t>No</t>
        </is>
      </c>
      <c r="P54" t="n">
        <v>0</v>
      </c>
      <c r="R54" t="n">
        <v>0</v>
      </c>
      <c r="S54" t="n">
        <v>0</v>
      </c>
      <c r="T54" t="n">
        <v>2</v>
      </c>
      <c r="U54" t="inlineStr">
        <is>
          <t>Yes</t>
        </is>
      </c>
      <c r="V54" t="inlineStr">
        <is>
          <t>No</t>
        </is>
      </c>
    </row>
    <row r="55">
      <c r="A55" t="inlineStr">
        <is>
          <t>2025 Annual Security Report</t>
        </is>
      </c>
      <c r="B55" s="1">
        <f>HYPERLINK("https://www.calstatela.edu/sites/default/files/2025%20Annual%20Security%20Report.pdf", "https://www.calstatela.edu/sites/default/files/2025%20Annual%20Security%20Report.pdf")</f>
        <v/>
      </c>
      <c r="C55" s="1">
        <f>HYPERLINK("https://www.calstatela.edu/studenthealthcenter/safe/education-awareness", "https://www.calstatela.edu/studenthealthcenter/safe/education-awareness")</f>
        <v/>
      </c>
      <c r="D55" t="inlineStr">
        <is>
          <t>2026-02-05 20:39:02</t>
        </is>
      </c>
      <c r="E55" t="inlineStr">
        <is>
          <t>d35aba</t>
        </is>
      </c>
      <c r="F55" t="inlineStr">
        <is>
          <t>calstatela.edu_studenthealthcenter</t>
        </is>
      </c>
      <c r="G55" t="inlineStr">
        <is>
          <t>CSULA-content-manager_eop</t>
        </is>
      </c>
      <c r="H55" t="n">
        <v>1</v>
      </c>
      <c r="I55" t="n">
        <v>4</v>
      </c>
      <c r="J55" t="inlineStr">
        <is>
          <t>No</t>
        </is>
      </c>
      <c r="K55" t="n">
        <v>1</v>
      </c>
      <c r="L55" t="inlineStr">
        <is>
          <t>No</t>
        </is>
      </c>
      <c r="M55" t="inlineStr">
        <is>
          <t>Yes</t>
        </is>
      </c>
      <c r="N55" t="n">
        <v>1</v>
      </c>
      <c r="O55" t="inlineStr">
        <is>
          <t>No</t>
        </is>
      </c>
      <c r="P55" t="n">
        <v>0</v>
      </c>
      <c r="R55" t="n">
        <v>0</v>
      </c>
      <c r="S55" t="n">
        <v>0</v>
      </c>
      <c r="T55" t="n">
        <v>4</v>
      </c>
      <c r="U55" t="inlineStr">
        <is>
          <t>Yes</t>
        </is>
      </c>
      <c r="V55" t="inlineStr">
        <is>
          <t>No</t>
        </is>
      </c>
    </row>
    <row r="56">
      <c r="A56" t="inlineStr">
        <is>
          <t>2026 Campus Safety Plan</t>
        </is>
      </c>
      <c r="B56" s="1">
        <f>HYPERLINK("https://www.calstatela.edu/sites/default/files/2026%20Campus%20Safety%20Plan.pdf", "https://www.calstatela.edu/sites/default/files/2026%20Campus%20Safety%20Plan.pdf")</f>
        <v/>
      </c>
      <c r="C56" s="1">
        <f>HYPERLINK("https://www.calstatela.edu/studenthealthcenter/safe/education-awareness", "https://www.calstatela.edu/studenthealthcenter/safe/education-awareness")</f>
        <v/>
      </c>
      <c r="D56" t="inlineStr">
        <is>
          <t>2026-02-05 20:39:02</t>
        </is>
      </c>
      <c r="E56" t="inlineStr">
        <is>
          <t>69529a</t>
        </is>
      </c>
      <c r="F56" t="inlineStr">
        <is>
          <t>calstatela.edu_studenthealthcenter</t>
        </is>
      </c>
      <c r="G56" t="inlineStr">
        <is>
          <t>CSULA-content-manager_eop</t>
        </is>
      </c>
      <c r="H56" t="n">
        <v>1</v>
      </c>
      <c r="I56" t="n">
        <v>2</v>
      </c>
      <c r="J56" t="inlineStr">
        <is>
          <t>No</t>
        </is>
      </c>
      <c r="K56" t="n">
        <v>1</v>
      </c>
      <c r="L56" t="inlineStr">
        <is>
          <t>No</t>
        </is>
      </c>
      <c r="M56" t="inlineStr">
        <is>
          <t>Yes</t>
        </is>
      </c>
      <c r="N56" t="n">
        <v>1</v>
      </c>
      <c r="O56" t="inlineStr">
        <is>
          <t>No</t>
        </is>
      </c>
      <c r="P56" t="n">
        <v>0</v>
      </c>
      <c r="R56" t="n">
        <v>0</v>
      </c>
      <c r="S56" t="n">
        <v>0</v>
      </c>
      <c r="T56" t="n">
        <v>2</v>
      </c>
      <c r="U56" t="inlineStr">
        <is>
          <t>Yes</t>
        </is>
      </c>
      <c r="V56" t="inlineStr">
        <is>
          <t>No</t>
        </is>
      </c>
    </row>
    <row r="57">
      <c r="A57" t="inlineStr">
        <is>
          <t>2025 Annual Security Report</t>
        </is>
      </c>
      <c r="B57" s="1">
        <f>HYPERLINK("https://www.calstatela.edu/sites/default/files/2025%20Annual%20Security%20Report.pdf", "https://www.calstatela.edu/sites/default/files/2025%20Annual%20Security%20Report.pdf")</f>
        <v/>
      </c>
      <c r="C57" s="1">
        <f>HYPERLINK("https://www.calstatela.edu/studenthealthcenter/safe/24-hour-hotlines-and-local-services", "https://www.calstatela.edu/studenthealthcenter/safe/24-hour-hotlines-and-local-services")</f>
        <v/>
      </c>
      <c r="D57" t="inlineStr">
        <is>
          <t>2026-02-05 20:39:02</t>
        </is>
      </c>
      <c r="E57" t="inlineStr">
        <is>
          <t>d35aba</t>
        </is>
      </c>
      <c r="F57" t="inlineStr">
        <is>
          <t>calstatela.edu_studenthealthcenter</t>
        </is>
      </c>
      <c r="G57" t="inlineStr">
        <is>
          <t>CSULA-content-manager_eop</t>
        </is>
      </c>
      <c r="H57" t="n">
        <v>1</v>
      </c>
      <c r="I57" t="n">
        <v>4</v>
      </c>
      <c r="J57" t="inlineStr">
        <is>
          <t>No</t>
        </is>
      </c>
      <c r="K57" t="n">
        <v>1</v>
      </c>
      <c r="L57" t="inlineStr">
        <is>
          <t>No</t>
        </is>
      </c>
      <c r="M57" t="inlineStr">
        <is>
          <t>Yes</t>
        </is>
      </c>
      <c r="N57" t="n">
        <v>1</v>
      </c>
      <c r="O57" t="inlineStr">
        <is>
          <t>No</t>
        </is>
      </c>
      <c r="P57" t="n">
        <v>0</v>
      </c>
      <c r="R57" t="n">
        <v>0</v>
      </c>
      <c r="S57" t="n">
        <v>0</v>
      </c>
      <c r="T57" t="n">
        <v>4</v>
      </c>
      <c r="U57" t="inlineStr">
        <is>
          <t>Yes</t>
        </is>
      </c>
      <c r="V57" t="inlineStr">
        <is>
          <t>No</t>
        </is>
      </c>
    </row>
    <row r="58">
      <c r="A58" t="inlineStr">
        <is>
          <t>2026 Campus Safety Plan</t>
        </is>
      </c>
      <c r="B58" s="1">
        <f>HYPERLINK("https://www.calstatela.edu/sites/default/files/2026%20Campus%20Safety%20Plan.pdf", "https://www.calstatela.edu/sites/default/files/2026%20Campus%20Safety%20Plan.pdf")</f>
        <v/>
      </c>
      <c r="C58" s="1">
        <f>HYPERLINK("https://www.calstatela.edu/studenthealthcenter/safe/24-hour-hotlines-and-local-services", "https://www.calstatela.edu/studenthealthcenter/safe/24-hour-hotlines-and-local-services")</f>
        <v/>
      </c>
      <c r="D58" t="inlineStr">
        <is>
          <t>2026-02-05 20:39:02</t>
        </is>
      </c>
      <c r="E58" t="inlineStr">
        <is>
          <t>69529a</t>
        </is>
      </c>
      <c r="F58" t="inlineStr">
        <is>
          <t>calstatela.edu_studenthealthcenter</t>
        </is>
      </c>
      <c r="G58" t="inlineStr">
        <is>
          <t>CSULA-content-manager_eop</t>
        </is>
      </c>
      <c r="H58" t="n">
        <v>1</v>
      </c>
      <c r="I58" t="n">
        <v>2</v>
      </c>
      <c r="J58" t="inlineStr">
        <is>
          <t>No</t>
        </is>
      </c>
      <c r="K58" t="n">
        <v>1</v>
      </c>
      <c r="L58" t="inlineStr">
        <is>
          <t>No</t>
        </is>
      </c>
      <c r="M58" t="inlineStr">
        <is>
          <t>Yes</t>
        </is>
      </c>
      <c r="N58" t="n">
        <v>1</v>
      </c>
      <c r="O58" t="inlineStr">
        <is>
          <t>No</t>
        </is>
      </c>
      <c r="P58" t="n">
        <v>0</v>
      </c>
      <c r="R58" t="n">
        <v>0</v>
      </c>
      <c r="S58" t="n">
        <v>0</v>
      </c>
      <c r="T58" t="n">
        <v>2</v>
      </c>
      <c r="U58" t="inlineStr">
        <is>
          <t>Yes</t>
        </is>
      </c>
      <c r="V58" t="inlineStr">
        <is>
          <t>No</t>
        </is>
      </c>
    </row>
    <row r="59">
      <c r="A59" s="2" t="inlineStr">
        <is>
          <t>oedi rights and options 2022</t>
        </is>
      </c>
      <c r="B59" s="3">
        <f>HYPERLINK("https://www.calstatela.edu/sites/default/files/oedi_rights_and_options_2022.pdf", "https://www.calstatela.edu/sites/default/files/oedi_rights_and_options_2022.pdf")</f>
        <v/>
      </c>
      <c r="C59" s="3">
        <f>HYPERLINK("https://www.calstatela.edu/studenthealthcenter/safe/survivor-assistance-student-health-center", "https://www.calstatela.edu/studenthealthcenter/safe/survivor-assistance-student-health-center")</f>
        <v/>
      </c>
      <c r="D59" s="2" t="inlineStr">
        <is>
          <t>2026-02-05 20:39:09</t>
        </is>
      </c>
      <c r="E59" s="2" t="inlineStr">
        <is>
          <t>87e5b5</t>
        </is>
      </c>
      <c r="F59" s="2" t="inlineStr">
        <is>
          <t>calstatela.edu_studenthealthcenter</t>
        </is>
      </c>
      <c r="G59" s="2" t="inlineStr">
        <is>
          <t>CSULA-content-manager_eop</t>
        </is>
      </c>
      <c r="H59" s="2" t="n">
        <v>1</v>
      </c>
      <c r="I59" s="2" t="n">
        <v>6</v>
      </c>
      <c r="J59" s="2" t="inlineStr">
        <is>
          <t>No</t>
        </is>
      </c>
      <c r="K59" s="2" t="n">
        <v>0</v>
      </c>
      <c r="L59" s="2" t="inlineStr">
        <is>
          <t>No</t>
        </is>
      </c>
      <c r="M59" s="2" t="inlineStr">
        <is>
          <t>Yes</t>
        </is>
      </c>
      <c r="N59" s="2" t="n">
        <v>0</v>
      </c>
      <c r="O59" s="2" t="inlineStr">
        <is>
          <t>No</t>
        </is>
      </c>
      <c r="P59" s="2" t="n">
        <v>0</v>
      </c>
      <c r="Q59" s="2" t="n"/>
      <c r="R59" s="2" t="n">
        <v>0</v>
      </c>
      <c r="S59" s="2" t="n">
        <v>0</v>
      </c>
      <c r="T59" s="2" t="n">
        <v>0</v>
      </c>
      <c r="U59" s="2" t="inlineStr">
        <is>
          <t>No</t>
        </is>
      </c>
      <c r="V59" s="2" t="inlineStr">
        <is>
          <t>No</t>
        </is>
      </c>
    </row>
    <row r="60">
      <c r="A60" t="inlineStr">
        <is>
          <t>2025 Annual Security Report</t>
        </is>
      </c>
      <c r="B60" s="1">
        <f>HYPERLINK("https://www.calstatela.edu/sites/default/files/2025%20Annual%20Security%20Report.pdf", "https://www.calstatela.edu/sites/default/files/2025%20Annual%20Security%20Report.pdf")</f>
        <v/>
      </c>
      <c r="C60" s="1">
        <f>HYPERLINK("https://www.calstatela.edu/studenthealthcenter/safe/survivor-assistance-student-health-center", "https://www.calstatela.edu/studenthealthcenter/safe/survivor-assistance-student-health-center")</f>
        <v/>
      </c>
      <c r="D60" t="inlineStr">
        <is>
          <t>2026-02-05 20:39:09</t>
        </is>
      </c>
      <c r="E60" t="inlineStr">
        <is>
          <t>d35aba</t>
        </is>
      </c>
      <c r="F60" t="inlineStr">
        <is>
          <t>calstatela.edu_studenthealthcenter</t>
        </is>
      </c>
      <c r="G60" t="inlineStr">
        <is>
          <t>CSULA-content-manager_eop</t>
        </is>
      </c>
      <c r="H60" t="n">
        <v>1</v>
      </c>
      <c r="I60" t="n">
        <v>4</v>
      </c>
      <c r="J60" t="inlineStr">
        <is>
          <t>No</t>
        </is>
      </c>
      <c r="K60" t="n">
        <v>1</v>
      </c>
      <c r="L60" t="inlineStr">
        <is>
          <t>No</t>
        </is>
      </c>
      <c r="M60" t="inlineStr">
        <is>
          <t>Yes</t>
        </is>
      </c>
      <c r="N60" t="n">
        <v>1</v>
      </c>
      <c r="O60" t="inlineStr">
        <is>
          <t>No</t>
        </is>
      </c>
      <c r="P60" t="n">
        <v>0</v>
      </c>
      <c r="R60" t="n">
        <v>0</v>
      </c>
      <c r="S60" t="n">
        <v>0</v>
      </c>
      <c r="T60" t="n">
        <v>4</v>
      </c>
      <c r="U60" t="inlineStr">
        <is>
          <t>Yes</t>
        </is>
      </c>
      <c r="V60" t="inlineStr">
        <is>
          <t>No</t>
        </is>
      </c>
    </row>
    <row r="61">
      <c r="A61" t="inlineStr">
        <is>
          <t>2026 Campus Safety Plan</t>
        </is>
      </c>
      <c r="B61" s="1">
        <f>HYPERLINK("https://www.calstatela.edu/sites/default/files/2026%20Campus%20Safety%20Plan.pdf", "https://www.calstatela.edu/sites/default/files/2026%20Campus%20Safety%20Plan.pdf")</f>
        <v/>
      </c>
      <c r="C61" s="1">
        <f>HYPERLINK("https://www.calstatela.edu/studenthealthcenter/safe/survivor-assistance-student-health-center", "https://www.calstatela.edu/studenthealthcenter/safe/survivor-assistance-student-health-center")</f>
        <v/>
      </c>
      <c r="D61" t="inlineStr">
        <is>
          <t>2026-02-05 20:39:09</t>
        </is>
      </c>
      <c r="E61" t="inlineStr">
        <is>
          <t>69529a</t>
        </is>
      </c>
      <c r="F61" t="inlineStr">
        <is>
          <t>calstatela.edu_studenthealthcenter</t>
        </is>
      </c>
      <c r="G61" t="inlineStr">
        <is>
          <t>CSULA-content-manager_eop</t>
        </is>
      </c>
      <c r="H61" t="n">
        <v>1</v>
      </c>
      <c r="I61" t="n">
        <v>2</v>
      </c>
      <c r="J61" t="inlineStr">
        <is>
          <t>No</t>
        </is>
      </c>
      <c r="K61" t="n">
        <v>1</v>
      </c>
      <c r="L61" t="inlineStr">
        <is>
          <t>No</t>
        </is>
      </c>
      <c r="M61" t="inlineStr">
        <is>
          <t>Yes</t>
        </is>
      </c>
      <c r="N61" t="n">
        <v>1</v>
      </c>
      <c r="O61" t="inlineStr">
        <is>
          <t>No</t>
        </is>
      </c>
      <c r="P61" t="n">
        <v>0</v>
      </c>
      <c r="R61" t="n">
        <v>0</v>
      </c>
      <c r="S61" t="n">
        <v>0</v>
      </c>
      <c r="T61" t="n">
        <v>2</v>
      </c>
      <c r="U61" t="inlineStr">
        <is>
          <t>Yes</t>
        </is>
      </c>
      <c r="V61" t="inlineStr">
        <is>
          <t>No</t>
        </is>
      </c>
    </row>
    <row r="62">
      <c r="A62" t="inlineStr">
        <is>
          <t>2025 Annual Security Report</t>
        </is>
      </c>
      <c r="B62" s="1">
        <f>HYPERLINK("https://www.calstatela.edu/sites/default/files/2025%20Annual%20Security%20Report.pdf", "https://www.calstatela.edu/sites/default/files/2025%20Annual%20Security%20Report.pdf")</f>
        <v/>
      </c>
      <c r="C62" s="1">
        <f>HYPERLINK("https://www.calstatela.edu/studenthealthcenter/safe/resources", "https://www.calstatela.edu/studenthealthcenter/safe/resources")</f>
        <v/>
      </c>
      <c r="D62" t="inlineStr">
        <is>
          <t>2026-02-05 20:39:09</t>
        </is>
      </c>
      <c r="E62" t="inlineStr">
        <is>
          <t>d35aba</t>
        </is>
      </c>
      <c r="F62" t="inlineStr">
        <is>
          <t>calstatela.edu_studenthealthcenter</t>
        </is>
      </c>
      <c r="G62" t="inlineStr">
        <is>
          <t>CSULA-content-manager_eop</t>
        </is>
      </c>
      <c r="H62" t="n">
        <v>1</v>
      </c>
      <c r="I62" t="n">
        <v>4</v>
      </c>
      <c r="J62" t="inlineStr">
        <is>
          <t>No</t>
        </is>
      </c>
      <c r="K62" t="n">
        <v>1</v>
      </c>
      <c r="L62" t="inlineStr">
        <is>
          <t>No</t>
        </is>
      </c>
      <c r="M62" t="inlineStr">
        <is>
          <t>Yes</t>
        </is>
      </c>
      <c r="N62" t="n">
        <v>1</v>
      </c>
      <c r="O62" t="inlineStr">
        <is>
          <t>No</t>
        </is>
      </c>
      <c r="P62" t="n">
        <v>0</v>
      </c>
      <c r="R62" t="n">
        <v>0</v>
      </c>
      <c r="S62" t="n">
        <v>0</v>
      </c>
      <c r="T62" t="n">
        <v>4</v>
      </c>
      <c r="U62" t="inlineStr">
        <is>
          <t>Yes</t>
        </is>
      </c>
      <c r="V62" t="inlineStr">
        <is>
          <t>No</t>
        </is>
      </c>
    </row>
    <row r="63">
      <c r="A63" t="inlineStr">
        <is>
          <t>2026 Campus Safety Plan</t>
        </is>
      </c>
      <c r="B63" s="1">
        <f>HYPERLINK("https://www.calstatela.edu/sites/default/files/2026%20Campus%20Safety%20Plan.pdf", "https://www.calstatela.edu/sites/default/files/2026%20Campus%20Safety%20Plan.pdf")</f>
        <v/>
      </c>
      <c r="C63" s="1">
        <f>HYPERLINK("https://www.calstatela.edu/studenthealthcenter/safe/resources", "https://www.calstatela.edu/studenthealthcenter/safe/resources")</f>
        <v/>
      </c>
      <c r="D63" t="inlineStr">
        <is>
          <t>2026-02-05 20:39:09</t>
        </is>
      </c>
      <c r="E63" t="inlineStr">
        <is>
          <t>69529a</t>
        </is>
      </c>
      <c r="F63" t="inlineStr">
        <is>
          <t>calstatela.edu_studenthealthcenter</t>
        </is>
      </c>
      <c r="G63" t="inlineStr">
        <is>
          <t>CSULA-content-manager_eop</t>
        </is>
      </c>
      <c r="H63" t="n">
        <v>1</v>
      </c>
      <c r="I63" t="n">
        <v>2</v>
      </c>
      <c r="J63" t="inlineStr">
        <is>
          <t>No</t>
        </is>
      </c>
      <c r="K63" t="n">
        <v>1</v>
      </c>
      <c r="L63" t="inlineStr">
        <is>
          <t>No</t>
        </is>
      </c>
      <c r="M63" t="inlineStr">
        <is>
          <t>Yes</t>
        </is>
      </c>
      <c r="N63" t="n">
        <v>1</v>
      </c>
      <c r="O63" t="inlineStr">
        <is>
          <t>No</t>
        </is>
      </c>
      <c r="P63" t="n">
        <v>0</v>
      </c>
      <c r="R63" t="n">
        <v>0</v>
      </c>
      <c r="S63" t="n">
        <v>0</v>
      </c>
      <c r="T63" t="n">
        <v>2</v>
      </c>
      <c r="U63" t="inlineStr">
        <is>
          <t>Yes</t>
        </is>
      </c>
      <c r="V63" t="inlineStr">
        <is>
          <t>No</t>
        </is>
      </c>
    </row>
    <row r="64">
      <c r="A64" t="inlineStr">
        <is>
          <t>2025 Annual Security Report</t>
        </is>
      </c>
      <c r="B64" s="1">
        <f>HYPERLINK("https://www.calstatela.edu/sites/default/files/2025%20Annual%20Security%20Report.pdf", "https://www.calstatela.edu/sites/default/files/2025%20Annual%20Security%20Report.pdf")</f>
        <v/>
      </c>
      <c r="C64" s="1">
        <f>HYPERLINK("https://www.calstatela.edu/studenthealthcenter/caps/caps-services", "https://www.calstatela.edu/studenthealthcenter/caps/caps-services")</f>
        <v/>
      </c>
      <c r="D64" t="inlineStr">
        <is>
          <t>2026-02-05 20:39:09</t>
        </is>
      </c>
      <c r="E64" t="inlineStr">
        <is>
          <t>d35aba</t>
        </is>
      </c>
      <c r="F64" t="inlineStr">
        <is>
          <t>calstatela.edu_studenthealthcenter</t>
        </is>
      </c>
      <c r="G64" t="inlineStr">
        <is>
          <t>CSULA-content-manager_eop</t>
        </is>
      </c>
      <c r="H64" t="n">
        <v>1</v>
      </c>
      <c r="I64" t="n">
        <v>4</v>
      </c>
      <c r="J64" t="inlineStr">
        <is>
          <t>No</t>
        </is>
      </c>
      <c r="K64" t="n">
        <v>1</v>
      </c>
      <c r="L64" t="inlineStr">
        <is>
          <t>No</t>
        </is>
      </c>
      <c r="M64" t="inlineStr">
        <is>
          <t>Yes</t>
        </is>
      </c>
      <c r="N64" t="n">
        <v>1</v>
      </c>
      <c r="O64" t="inlineStr">
        <is>
          <t>No</t>
        </is>
      </c>
      <c r="P64" t="n">
        <v>0</v>
      </c>
      <c r="R64" t="n">
        <v>0</v>
      </c>
      <c r="S64" t="n">
        <v>0</v>
      </c>
      <c r="T64" t="n">
        <v>4</v>
      </c>
      <c r="U64" t="inlineStr">
        <is>
          <t>Yes</t>
        </is>
      </c>
      <c r="V64" t="inlineStr">
        <is>
          <t>No</t>
        </is>
      </c>
    </row>
    <row r="65">
      <c r="A65" t="inlineStr">
        <is>
          <t>2026 Campus Safety Plan</t>
        </is>
      </c>
      <c r="B65" s="1">
        <f>HYPERLINK("https://www.calstatela.edu/sites/default/files/2026%20Campus%20Safety%20Plan.pdf", "https://www.calstatela.edu/sites/default/files/2026%20Campus%20Safety%20Plan.pdf")</f>
        <v/>
      </c>
      <c r="C65" s="1">
        <f>HYPERLINK("https://www.calstatela.edu/studenthealthcenter/caps/caps-services", "https://www.calstatela.edu/studenthealthcenter/caps/caps-services")</f>
        <v/>
      </c>
      <c r="D65" t="inlineStr">
        <is>
          <t>2026-02-05 20:39:09</t>
        </is>
      </c>
      <c r="E65" t="inlineStr">
        <is>
          <t>69529a</t>
        </is>
      </c>
      <c r="F65" t="inlineStr">
        <is>
          <t>calstatela.edu_studenthealthcenter</t>
        </is>
      </c>
      <c r="G65" t="inlineStr">
        <is>
          <t>CSULA-content-manager_eop</t>
        </is>
      </c>
      <c r="H65" t="n">
        <v>1</v>
      </c>
      <c r="I65" t="n">
        <v>2</v>
      </c>
      <c r="J65" t="inlineStr">
        <is>
          <t>No</t>
        </is>
      </c>
      <c r="K65" t="n">
        <v>1</v>
      </c>
      <c r="L65" t="inlineStr">
        <is>
          <t>No</t>
        </is>
      </c>
      <c r="M65" t="inlineStr">
        <is>
          <t>Yes</t>
        </is>
      </c>
      <c r="N65" t="n">
        <v>1</v>
      </c>
      <c r="O65" t="inlineStr">
        <is>
          <t>No</t>
        </is>
      </c>
      <c r="P65" t="n">
        <v>0</v>
      </c>
      <c r="R65" t="n">
        <v>0</v>
      </c>
      <c r="S65" t="n">
        <v>0</v>
      </c>
      <c r="T65" t="n">
        <v>2</v>
      </c>
      <c r="U65" t="inlineStr">
        <is>
          <t>Yes</t>
        </is>
      </c>
      <c r="V65" t="inlineStr">
        <is>
          <t>No</t>
        </is>
      </c>
    </row>
    <row r="66">
      <c r="A66" t="inlineStr">
        <is>
          <t>2025 Annual Security Report</t>
        </is>
      </c>
      <c r="B66" s="1">
        <f>HYPERLINK("https://www.calstatela.edu/sites/default/files/2025%20Annual%20Security%20Report.pdf", "https://www.calstatela.edu/sites/default/files/2025%20Annual%20Security%20Report.pdf")</f>
        <v/>
      </c>
      <c r="C66" s="1">
        <f>HYPERLINK("https://www.calstatela.edu/studenthealthcenter/caps/emergencies-after-hours", "https://www.calstatela.edu/studenthealthcenter/caps/emergencies-after-hours")</f>
        <v/>
      </c>
      <c r="D66" t="inlineStr">
        <is>
          <t>2026-02-05 20:39:09</t>
        </is>
      </c>
      <c r="E66" t="inlineStr">
        <is>
          <t>d35aba</t>
        </is>
      </c>
      <c r="F66" t="inlineStr">
        <is>
          <t>calstatela.edu_studenthealthcenter</t>
        </is>
      </c>
      <c r="G66" t="inlineStr">
        <is>
          <t>CSULA-content-manager_eop</t>
        </is>
      </c>
      <c r="H66" t="n">
        <v>1</v>
      </c>
      <c r="I66" t="n">
        <v>4</v>
      </c>
      <c r="J66" t="inlineStr">
        <is>
          <t>No</t>
        </is>
      </c>
      <c r="K66" t="n">
        <v>1</v>
      </c>
      <c r="L66" t="inlineStr">
        <is>
          <t>No</t>
        </is>
      </c>
      <c r="M66" t="inlineStr">
        <is>
          <t>Yes</t>
        </is>
      </c>
      <c r="N66" t="n">
        <v>1</v>
      </c>
      <c r="O66" t="inlineStr">
        <is>
          <t>No</t>
        </is>
      </c>
      <c r="P66" t="n">
        <v>0</v>
      </c>
      <c r="R66" t="n">
        <v>0</v>
      </c>
      <c r="S66" t="n">
        <v>0</v>
      </c>
      <c r="T66" t="n">
        <v>4</v>
      </c>
      <c r="U66" t="inlineStr">
        <is>
          <t>Yes</t>
        </is>
      </c>
      <c r="V66" t="inlineStr">
        <is>
          <t>No</t>
        </is>
      </c>
    </row>
    <row r="67">
      <c r="A67" t="inlineStr">
        <is>
          <t>2026 Campus Safety Plan</t>
        </is>
      </c>
      <c r="B67" s="1">
        <f>HYPERLINK("https://www.calstatela.edu/sites/default/files/2026%20Campus%20Safety%20Plan.pdf", "https://www.calstatela.edu/sites/default/files/2026%20Campus%20Safety%20Plan.pdf")</f>
        <v/>
      </c>
      <c r="C67" s="1">
        <f>HYPERLINK("https://www.calstatela.edu/studenthealthcenter/caps/emergencies-after-hours", "https://www.calstatela.edu/studenthealthcenter/caps/emergencies-after-hours")</f>
        <v/>
      </c>
      <c r="D67" t="inlineStr">
        <is>
          <t>2026-02-05 20:39:09</t>
        </is>
      </c>
      <c r="E67" t="inlineStr">
        <is>
          <t>69529a</t>
        </is>
      </c>
      <c r="F67" t="inlineStr">
        <is>
          <t>calstatela.edu_studenthealthcenter</t>
        </is>
      </c>
      <c r="G67" t="inlineStr">
        <is>
          <t>CSULA-content-manager_eop</t>
        </is>
      </c>
      <c r="H67" t="n">
        <v>1</v>
      </c>
      <c r="I67" t="n">
        <v>2</v>
      </c>
      <c r="J67" t="inlineStr">
        <is>
          <t>No</t>
        </is>
      </c>
      <c r="K67" t="n">
        <v>1</v>
      </c>
      <c r="L67" t="inlineStr">
        <is>
          <t>No</t>
        </is>
      </c>
      <c r="M67" t="inlineStr">
        <is>
          <t>Yes</t>
        </is>
      </c>
      <c r="N67" t="n">
        <v>1</v>
      </c>
      <c r="O67" t="inlineStr">
        <is>
          <t>No</t>
        </is>
      </c>
      <c r="P67" t="n">
        <v>0</v>
      </c>
      <c r="R67" t="n">
        <v>0</v>
      </c>
      <c r="S67" t="n">
        <v>0</v>
      </c>
      <c r="T67" t="n">
        <v>2</v>
      </c>
      <c r="U67" t="inlineStr">
        <is>
          <t>Yes</t>
        </is>
      </c>
      <c r="V67" t="inlineStr">
        <is>
          <t>No</t>
        </is>
      </c>
    </row>
    <row r="68">
      <c r="A68" t="inlineStr">
        <is>
          <t>2025 Annual Security Report</t>
        </is>
      </c>
      <c r="B68" s="1">
        <f>HYPERLINK("https://www.calstatela.edu/sites/default/files/2025%20Annual%20Security%20Report.pdf", "https://www.calstatela.edu/sites/default/files/2025%20Annual%20Security%20Report.pdf")</f>
        <v/>
      </c>
      <c r="C68" s="1">
        <f>HYPERLINK("https://www.calstatela.edu/studenthealthcenter/caps/make-appointment", "https://www.calstatela.edu/studenthealthcenter/caps/make-appointment")</f>
        <v/>
      </c>
      <c r="D68" t="inlineStr">
        <is>
          <t>2026-02-05 20:39:09</t>
        </is>
      </c>
      <c r="E68" t="inlineStr">
        <is>
          <t>d35aba</t>
        </is>
      </c>
      <c r="F68" t="inlineStr">
        <is>
          <t>calstatela.edu_studenthealthcenter</t>
        </is>
      </c>
      <c r="G68" t="inlineStr">
        <is>
          <t>CSULA-content-manager_eop</t>
        </is>
      </c>
      <c r="H68" t="n">
        <v>1</v>
      </c>
      <c r="I68" t="n">
        <v>4</v>
      </c>
      <c r="J68" t="inlineStr">
        <is>
          <t>No</t>
        </is>
      </c>
      <c r="K68" t="n">
        <v>1</v>
      </c>
      <c r="L68" t="inlineStr">
        <is>
          <t>No</t>
        </is>
      </c>
      <c r="M68" t="inlineStr">
        <is>
          <t>Yes</t>
        </is>
      </c>
      <c r="N68" t="n">
        <v>1</v>
      </c>
      <c r="O68" t="inlineStr">
        <is>
          <t>No</t>
        </is>
      </c>
      <c r="P68" t="n">
        <v>0</v>
      </c>
      <c r="R68" t="n">
        <v>0</v>
      </c>
      <c r="S68" t="n">
        <v>0</v>
      </c>
      <c r="T68" t="n">
        <v>4</v>
      </c>
      <c r="U68" t="inlineStr">
        <is>
          <t>Yes</t>
        </is>
      </c>
      <c r="V68" t="inlineStr">
        <is>
          <t>No</t>
        </is>
      </c>
    </row>
    <row r="69">
      <c r="A69" t="inlineStr">
        <is>
          <t>2026 Campus Safety Plan</t>
        </is>
      </c>
      <c r="B69" s="1">
        <f>HYPERLINK("https://www.calstatela.edu/sites/default/files/2026%20Campus%20Safety%20Plan.pdf", "https://www.calstatela.edu/sites/default/files/2026%20Campus%20Safety%20Plan.pdf")</f>
        <v/>
      </c>
      <c r="C69" s="1">
        <f>HYPERLINK("https://www.calstatela.edu/studenthealthcenter/caps/make-appointment", "https://www.calstatela.edu/studenthealthcenter/caps/make-appointment")</f>
        <v/>
      </c>
      <c r="D69" t="inlineStr">
        <is>
          <t>2026-02-05 20:39:09</t>
        </is>
      </c>
      <c r="E69" t="inlineStr">
        <is>
          <t>69529a</t>
        </is>
      </c>
      <c r="F69" t="inlineStr">
        <is>
          <t>calstatela.edu_studenthealthcenter</t>
        </is>
      </c>
      <c r="G69" t="inlineStr">
        <is>
          <t>CSULA-content-manager_eop</t>
        </is>
      </c>
      <c r="H69" t="n">
        <v>1</v>
      </c>
      <c r="I69" t="n">
        <v>2</v>
      </c>
      <c r="J69" t="inlineStr">
        <is>
          <t>No</t>
        </is>
      </c>
      <c r="K69" t="n">
        <v>1</v>
      </c>
      <c r="L69" t="inlineStr">
        <is>
          <t>No</t>
        </is>
      </c>
      <c r="M69" t="inlineStr">
        <is>
          <t>Yes</t>
        </is>
      </c>
      <c r="N69" t="n">
        <v>1</v>
      </c>
      <c r="O69" t="inlineStr">
        <is>
          <t>No</t>
        </is>
      </c>
      <c r="P69" t="n">
        <v>0</v>
      </c>
      <c r="R69" t="n">
        <v>0</v>
      </c>
      <c r="S69" t="n">
        <v>0</v>
      </c>
      <c r="T69" t="n">
        <v>2</v>
      </c>
      <c r="U69" t="inlineStr">
        <is>
          <t>Yes</t>
        </is>
      </c>
      <c r="V69" t="inlineStr">
        <is>
          <t>No</t>
        </is>
      </c>
    </row>
    <row r="70">
      <c r="A70" t="inlineStr">
        <is>
          <t>2025 Annual Security Report</t>
        </is>
      </c>
      <c r="B70" s="1">
        <f>HYPERLINK("https://www.calstatela.edu/sites/default/files/2025%20Annual%20Security%20Report.pdf", "https://www.calstatela.edu/sites/default/files/2025%20Annual%20Security%20Report.pdf")</f>
        <v/>
      </c>
      <c r="C70" s="1">
        <f>HYPERLINK("https://www.calstatela.edu/studenthealthcenter/caps/when-seek-counseling", "https://www.calstatela.edu/studenthealthcenter/caps/when-seek-counseling")</f>
        <v/>
      </c>
      <c r="D70" t="inlineStr">
        <is>
          <t>2026-02-05 20:39:09</t>
        </is>
      </c>
      <c r="E70" t="inlineStr">
        <is>
          <t>d35aba</t>
        </is>
      </c>
      <c r="F70" t="inlineStr">
        <is>
          <t>calstatela.edu_studenthealthcenter</t>
        </is>
      </c>
      <c r="G70" t="inlineStr">
        <is>
          <t>CSULA-content-manager_eop</t>
        </is>
      </c>
      <c r="H70" t="n">
        <v>1</v>
      </c>
      <c r="I70" t="n">
        <v>4</v>
      </c>
      <c r="J70" t="inlineStr">
        <is>
          <t>No</t>
        </is>
      </c>
      <c r="K70" t="n">
        <v>1</v>
      </c>
      <c r="L70" t="inlineStr">
        <is>
          <t>No</t>
        </is>
      </c>
      <c r="M70" t="inlineStr">
        <is>
          <t>Yes</t>
        </is>
      </c>
      <c r="N70" t="n">
        <v>1</v>
      </c>
      <c r="O70" t="inlineStr">
        <is>
          <t>No</t>
        </is>
      </c>
      <c r="P70" t="n">
        <v>0</v>
      </c>
      <c r="R70" t="n">
        <v>0</v>
      </c>
      <c r="S70" t="n">
        <v>0</v>
      </c>
      <c r="T70" t="n">
        <v>4</v>
      </c>
      <c r="U70" t="inlineStr">
        <is>
          <t>Yes</t>
        </is>
      </c>
      <c r="V70" t="inlineStr">
        <is>
          <t>No</t>
        </is>
      </c>
    </row>
    <row r="71">
      <c r="A71" t="inlineStr">
        <is>
          <t>2026 Campus Safety Plan</t>
        </is>
      </c>
      <c r="B71" s="1">
        <f>HYPERLINK("https://www.calstatela.edu/sites/default/files/2026%20Campus%20Safety%20Plan.pdf", "https://www.calstatela.edu/sites/default/files/2026%20Campus%20Safety%20Plan.pdf")</f>
        <v/>
      </c>
      <c r="C71" s="1">
        <f>HYPERLINK("https://www.calstatela.edu/studenthealthcenter/caps/when-seek-counseling", "https://www.calstatela.edu/studenthealthcenter/caps/when-seek-counseling")</f>
        <v/>
      </c>
      <c r="D71" t="inlineStr">
        <is>
          <t>2026-02-05 20:39:09</t>
        </is>
      </c>
      <c r="E71" t="inlineStr">
        <is>
          <t>69529a</t>
        </is>
      </c>
      <c r="F71" t="inlineStr">
        <is>
          <t>calstatela.edu_studenthealthcenter</t>
        </is>
      </c>
      <c r="G71" t="inlineStr">
        <is>
          <t>CSULA-content-manager_eop</t>
        </is>
      </c>
      <c r="H71" t="n">
        <v>1</v>
      </c>
      <c r="I71" t="n">
        <v>2</v>
      </c>
      <c r="J71" t="inlineStr">
        <is>
          <t>No</t>
        </is>
      </c>
      <c r="K71" t="n">
        <v>1</v>
      </c>
      <c r="L71" t="inlineStr">
        <is>
          <t>No</t>
        </is>
      </c>
      <c r="M71" t="inlineStr">
        <is>
          <t>Yes</t>
        </is>
      </c>
      <c r="N71" t="n">
        <v>1</v>
      </c>
      <c r="O71" t="inlineStr">
        <is>
          <t>No</t>
        </is>
      </c>
      <c r="P71" t="n">
        <v>0</v>
      </c>
      <c r="R71" t="n">
        <v>0</v>
      </c>
      <c r="S71" t="n">
        <v>0</v>
      </c>
      <c r="T71" t="n">
        <v>2</v>
      </c>
      <c r="U71" t="inlineStr">
        <is>
          <t>Yes</t>
        </is>
      </c>
      <c r="V71" t="inlineStr">
        <is>
          <t>No</t>
        </is>
      </c>
    </row>
    <row r="72">
      <c r="A72" t="inlineStr">
        <is>
          <t>2025 Annual Security Report</t>
        </is>
      </c>
      <c r="B72" s="1">
        <f>HYPERLINK("https://www.calstatela.edu/sites/default/files/2025%20Annual%20Security%20Report.pdf", "https://www.calstatela.edu/sites/default/files/2025%20Annual%20Security%20Report.pdf")</f>
        <v/>
      </c>
      <c r="C72" s="1">
        <f>HYPERLINK("https://www.calstatela.edu/studenthealthcenter/caps/concerned-about-student", "https://www.calstatela.edu/studenthealthcenter/caps/concerned-about-student")</f>
        <v/>
      </c>
      <c r="D72" t="inlineStr">
        <is>
          <t>2026-02-05 20:39:09</t>
        </is>
      </c>
      <c r="E72" t="inlineStr">
        <is>
          <t>d35aba</t>
        </is>
      </c>
      <c r="F72" t="inlineStr">
        <is>
          <t>calstatela.edu_studenthealthcenter</t>
        </is>
      </c>
      <c r="G72" t="inlineStr">
        <is>
          <t>CSULA-content-manager_eop</t>
        </is>
      </c>
      <c r="H72" t="n">
        <v>1</v>
      </c>
      <c r="I72" t="n">
        <v>4</v>
      </c>
      <c r="J72" t="inlineStr">
        <is>
          <t>No</t>
        </is>
      </c>
      <c r="K72" t="n">
        <v>1</v>
      </c>
      <c r="L72" t="inlineStr">
        <is>
          <t>No</t>
        </is>
      </c>
      <c r="M72" t="inlineStr">
        <is>
          <t>Yes</t>
        </is>
      </c>
      <c r="N72" t="n">
        <v>1</v>
      </c>
      <c r="O72" t="inlineStr">
        <is>
          <t>No</t>
        </is>
      </c>
      <c r="P72" t="n">
        <v>0</v>
      </c>
      <c r="R72" t="n">
        <v>0</v>
      </c>
      <c r="S72" t="n">
        <v>0</v>
      </c>
      <c r="T72" t="n">
        <v>4</v>
      </c>
      <c r="U72" t="inlineStr">
        <is>
          <t>Yes</t>
        </is>
      </c>
      <c r="V72" t="inlineStr">
        <is>
          <t>No</t>
        </is>
      </c>
    </row>
    <row r="73">
      <c r="A73" t="inlineStr">
        <is>
          <t>2026 Campus Safety Plan</t>
        </is>
      </c>
      <c r="B73" s="1">
        <f>HYPERLINK("https://www.calstatela.edu/sites/default/files/2026%20Campus%20Safety%20Plan.pdf", "https://www.calstatela.edu/sites/default/files/2026%20Campus%20Safety%20Plan.pdf")</f>
        <v/>
      </c>
      <c r="C73" s="1">
        <f>HYPERLINK("https://www.calstatela.edu/studenthealthcenter/caps/concerned-about-student", "https://www.calstatela.edu/studenthealthcenter/caps/concerned-about-student")</f>
        <v/>
      </c>
      <c r="D73" t="inlineStr">
        <is>
          <t>2026-02-05 20:39:09</t>
        </is>
      </c>
      <c r="E73" t="inlineStr">
        <is>
          <t>69529a</t>
        </is>
      </c>
      <c r="F73" t="inlineStr">
        <is>
          <t>calstatela.edu_studenthealthcenter</t>
        </is>
      </c>
      <c r="G73" t="inlineStr">
        <is>
          <t>CSULA-content-manager_eop</t>
        </is>
      </c>
      <c r="H73" t="n">
        <v>1</v>
      </c>
      <c r="I73" t="n">
        <v>2</v>
      </c>
      <c r="J73" t="inlineStr">
        <is>
          <t>No</t>
        </is>
      </c>
      <c r="K73" t="n">
        <v>1</v>
      </c>
      <c r="L73" t="inlineStr">
        <is>
          <t>No</t>
        </is>
      </c>
      <c r="M73" t="inlineStr">
        <is>
          <t>Yes</t>
        </is>
      </c>
      <c r="N73" t="n">
        <v>1</v>
      </c>
      <c r="O73" t="inlineStr">
        <is>
          <t>No</t>
        </is>
      </c>
      <c r="P73" t="n">
        <v>0</v>
      </c>
      <c r="R73" t="n">
        <v>0</v>
      </c>
      <c r="S73" t="n">
        <v>0</v>
      </c>
      <c r="T73" t="n">
        <v>2</v>
      </c>
      <c r="U73" t="inlineStr">
        <is>
          <t>Yes</t>
        </is>
      </c>
      <c r="V73" t="inlineStr">
        <is>
          <t>No</t>
        </is>
      </c>
    </row>
    <row r="74">
      <c r="A74" t="inlineStr">
        <is>
          <t>2025 Annual Security Report</t>
        </is>
      </c>
      <c r="B74" s="1">
        <f>HYPERLINK("https://www.calstatela.edu/sites/default/files/2025%20Annual%20Security%20Report.pdf", "https://www.calstatela.edu/sites/default/files/2025%20Annual%20Security%20Report.pdf")</f>
        <v/>
      </c>
      <c r="C74" s="1">
        <f>HYPERLINK("https://www.calstatela.edu/studenthealthcenter/caps/meet-team", "https://www.calstatela.edu/studenthealthcenter/caps/meet-team")</f>
        <v/>
      </c>
      <c r="D74" t="inlineStr">
        <is>
          <t>2026-02-05 20:39:09</t>
        </is>
      </c>
      <c r="E74" t="inlineStr">
        <is>
          <t>d35aba</t>
        </is>
      </c>
      <c r="F74" t="inlineStr">
        <is>
          <t>calstatela.edu_studenthealthcenter</t>
        </is>
      </c>
      <c r="G74" t="inlineStr">
        <is>
          <t>CSULA-content-manager_eop</t>
        </is>
      </c>
      <c r="H74" t="n">
        <v>1</v>
      </c>
      <c r="I74" t="n">
        <v>4</v>
      </c>
      <c r="J74" t="inlineStr">
        <is>
          <t>No</t>
        </is>
      </c>
      <c r="K74" t="n">
        <v>1</v>
      </c>
      <c r="L74" t="inlineStr">
        <is>
          <t>No</t>
        </is>
      </c>
      <c r="M74" t="inlineStr">
        <is>
          <t>Yes</t>
        </is>
      </c>
      <c r="N74" t="n">
        <v>1</v>
      </c>
      <c r="O74" t="inlineStr">
        <is>
          <t>No</t>
        </is>
      </c>
      <c r="P74" t="n">
        <v>0</v>
      </c>
      <c r="R74" t="n">
        <v>0</v>
      </c>
      <c r="S74" t="n">
        <v>0</v>
      </c>
      <c r="T74" t="n">
        <v>4</v>
      </c>
      <c r="U74" t="inlineStr">
        <is>
          <t>Yes</t>
        </is>
      </c>
      <c r="V74" t="inlineStr">
        <is>
          <t>No</t>
        </is>
      </c>
    </row>
    <row r="75">
      <c r="A75" t="inlineStr">
        <is>
          <t>2026 Campus Safety Plan</t>
        </is>
      </c>
      <c r="B75" s="1">
        <f>HYPERLINK("https://www.calstatela.edu/sites/default/files/2026%20Campus%20Safety%20Plan.pdf", "https://www.calstatela.edu/sites/default/files/2026%20Campus%20Safety%20Plan.pdf")</f>
        <v/>
      </c>
      <c r="C75" s="1">
        <f>HYPERLINK("https://www.calstatela.edu/studenthealthcenter/caps/meet-team", "https://www.calstatela.edu/studenthealthcenter/caps/meet-team")</f>
        <v/>
      </c>
      <c r="D75" t="inlineStr">
        <is>
          <t>2026-02-05 20:39:09</t>
        </is>
      </c>
      <c r="E75" t="inlineStr">
        <is>
          <t>69529a</t>
        </is>
      </c>
      <c r="F75" t="inlineStr">
        <is>
          <t>calstatela.edu_studenthealthcenter</t>
        </is>
      </c>
      <c r="G75" t="inlineStr">
        <is>
          <t>CSULA-content-manager_eop</t>
        </is>
      </c>
      <c r="H75" t="n">
        <v>1</v>
      </c>
      <c r="I75" t="n">
        <v>2</v>
      </c>
      <c r="J75" t="inlineStr">
        <is>
          <t>No</t>
        </is>
      </c>
      <c r="K75" t="n">
        <v>1</v>
      </c>
      <c r="L75" t="inlineStr">
        <is>
          <t>No</t>
        </is>
      </c>
      <c r="M75" t="inlineStr">
        <is>
          <t>Yes</t>
        </is>
      </c>
      <c r="N75" t="n">
        <v>1</v>
      </c>
      <c r="O75" t="inlineStr">
        <is>
          <t>No</t>
        </is>
      </c>
      <c r="P75" t="n">
        <v>0</v>
      </c>
      <c r="R75" t="n">
        <v>0</v>
      </c>
      <c r="S75" t="n">
        <v>0</v>
      </c>
      <c r="T75" t="n">
        <v>2</v>
      </c>
      <c r="U75" t="inlineStr">
        <is>
          <t>Yes</t>
        </is>
      </c>
      <c r="V75" t="inlineStr">
        <is>
          <t>No</t>
        </is>
      </c>
    </row>
    <row r="76">
      <c r="A76" t="inlineStr">
        <is>
          <t>2025 Annual Security Report</t>
        </is>
      </c>
      <c r="B76" s="1">
        <f>HYPERLINK("https://www.calstatela.edu/sites/default/files/2025%20Annual%20Security%20Report.pdf", "https://www.calstatela.edu/sites/default/files/2025%20Annual%20Security%20Report.pdf")</f>
        <v/>
      </c>
      <c r="C76" s="1">
        <f>HYPERLINK("https://www.calstatela.edu/studenthealthcenter/caps/eligibility-caps-services", "https://www.calstatela.edu/studenthealthcenter/caps/eligibility-caps-services")</f>
        <v/>
      </c>
      <c r="D76" t="inlineStr">
        <is>
          <t>2026-02-05 20:39:09</t>
        </is>
      </c>
      <c r="E76" t="inlineStr">
        <is>
          <t>d35aba</t>
        </is>
      </c>
      <c r="F76" t="inlineStr">
        <is>
          <t>calstatela.edu_studenthealthcenter</t>
        </is>
      </c>
      <c r="G76" t="inlineStr">
        <is>
          <t>CSULA-content-manager_eop</t>
        </is>
      </c>
      <c r="H76" t="n">
        <v>1</v>
      </c>
      <c r="I76" t="n">
        <v>4</v>
      </c>
      <c r="J76" t="inlineStr">
        <is>
          <t>No</t>
        </is>
      </c>
      <c r="K76" t="n">
        <v>1</v>
      </c>
      <c r="L76" t="inlineStr">
        <is>
          <t>No</t>
        </is>
      </c>
      <c r="M76" t="inlineStr">
        <is>
          <t>Yes</t>
        </is>
      </c>
      <c r="N76" t="n">
        <v>1</v>
      </c>
      <c r="O76" t="inlineStr">
        <is>
          <t>No</t>
        </is>
      </c>
      <c r="P76" t="n">
        <v>0</v>
      </c>
      <c r="R76" t="n">
        <v>0</v>
      </c>
      <c r="S76" t="n">
        <v>0</v>
      </c>
      <c r="T76" t="n">
        <v>4</v>
      </c>
      <c r="U76" t="inlineStr">
        <is>
          <t>Yes</t>
        </is>
      </c>
      <c r="V76" t="inlineStr">
        <is>
          <t>No</t>
        </is>
      </c>
    </row>
    <row r="77">
      <c r="A77" t="inlineStr">
        <is>
          <t>2026 Campus Safety Plan</t>
        </is>
      </c>
      <c r="B77" s="1">
        <f>HYPERLINK("https://www.calstatela.edu/sites/default/files/2026%20Campus%20Safety%20Plan.pdf", "https://www.calstatela.edu/sites/default/files/2026%20Campus%20Safety%20Plan.pdf")</f>
        <v/>
      </c>
      <c r="C77" s="1">
        <f>HYPERLINK("https://www.calstatela.edu/studenthealthcenter/caps/eligibility-caps-services", "https://www.calstatela.edu/studenthealthcenter/caps/eligibility-caps-services")</f>
        <v/>
      </c>
      <c r="D77" t="inlineStr">
        <is>
          <t>2026-02-05 20:39:09</t>
        </is>
      </c>
      <c r="E77" t="inlineStr">
        <is>
          <t>69529a</t>
        </is>
      </c>
      <c r="F77" t="inlineStr">
        <is>
          <t>calstatela.edu_studenthealthcenter</t>
        </is>
      </c>
      <c r="G77" t="inlineStr">
        <is>
          <t>CSULA-content-manager_eop</t>
        </is>
      </c>
      <c r="H77" t="n">
        <v>1</v>
      </c>
      <c r="I77" t="n">
        <v>2</v>
      </c>
      <c r="J77" t="inlineStr">
        <is>
          <t>No</t>
        </is>
      </c>
      <c r="K77" t="n">
        <v>1</v>
      </c>
      <c r="L77" t="inlineStr">
        <is>
          <t>No</t>
        </is>
      </c>
      <c r="M77" t="inlineStr">
        <is>
          <t>Yes</t>
        </is>
      </c>
      <c r="N77" t="n">
        <v>1</v>
      </c>
      <c r="O77" t="inlineStr">
        <is>
          <t>No</t>
        </is>
      </c>
      <c r="P77" t="n">
        <v>0</v>
      </c>
      <c r="R77" t="n">
        <v>0</v>
      </c>
      <c r="S77" t="n">
        <v>0</v>
      </c>
      <c r="T77" t="n">
        <v>2</v>
      </c>
      <c r="U77" t="inlineStr">
        <is>
          <t>Yes</t>
        </is>
      </c>
      <c r="V77" t="inlineStr">
        <is>
          <t>No</t>
        </is>
      </c>
    </row>
    <row r="78">
      <c r="A78" t="inlineStr">
        <is>
          <t>2025 Annual Security Report</t>
        </is>
      </c>
      <c r="B78" s="1">
        <f>HYPERLINK("https://www.calstatela.edu/sites/default/files/2025%20Annual%20Security%20Report.pdf", "https://www.calstatela.edu/sites/default/files/2025%20Annual%20Security%20Report.pdf")</f>
        <v/>
      </c>
      <c r="C78" s="1">
        <f>HYPERLINK("https://www.calstatela.edu/studenthealthcenter/caps/support-groups", "https://www.calstatela.edu/studenthealthcenter/caps/support-groups")</f>
        <v/>
      </c>
      <c r="D78" t="inlineStr">
        <is>
          <t>2026-02-05 20:39:09</t>
        </is>
      </c>
      <c r="E78" t="inlineStr">
        <is>
          <t>d35aba</t>
        </is>
      </c>
      <c r="F78" t="inlineStr">
        <is>
          <t>calstatela.edu_studenthealthcenter</t>
        </is>
      </c>
      <c r="G78" t="inlineStr">
        <is>
          <t>CSULA-content-manager_eop</t>
        </is>
      </c>
      <c r="H78" t="n">
        <v>1</v>
      </c>
      <c r="I78" t="n">
        <v>4</v>
      </c>
      <c r="J78" t="inlineStr">
        <is>
          <t>No</t>
        </is>
      </c>
      <c r="K78" t="n">
        <v>1</v>
      </c>
      <c r="L78" t="inlineStr">
        <is>
          <t>No</t>
        </is>
      </c>
      <c r="M78" t="inlineStr">
        <is>
          <t>Yes</t>
        </is>
      </c>
      <c r="N78" t="n">
        <v>1</v>
      </c>
      <c r="O78" t="inlineStr">
        <is>
          <t>No</t>
        </is>
      </c>
      <c r="P78" t="n">
        <v>0</v>
      </c>
      <c r="R78" t="n">
        <v>0</v>
      </c>
      <c r="S78" t="n">
        <v>0</v>
      </c>
      <c r="T78" t="n">
        <v>4</v>
      </c>
      <c r="U78" t="inlineStr">
        <is>
          <t>Yes</t>
        </is>
      </c>
      <c r="V78" t="inlineStr">
        <is>
          <t>No</t>
        </is>
      </c>
    </row>
    <row r="79">
      <c r="A79" t="inlineStr">
        <is>
          <t>2026 Campus Safety Plan</t>
        </is>
      </c>
      <c r="B79" s="1">
        <f>HYPERLINK("https://www.calstatela.edu/sites/default/files/2026%20Campus%20Safety%20Plan.pdf", "https://www.calstatela.edu/sites/default/files/2026%20Campus%20Safety%20Plan.pdf")</f>
        <v/>
      </c>
      <c r="C79" s="1">
        <f>HYPERLINK("https://www.calstatela.edu/studenthealthcenter/caps/support-groups", "https://www.calstatela.edu/studenthealthcenter/caps/support-groups")</f>
        <v/>
      </c>
      <c r="D79" t="inlineStr">
        <is>
          <t>2026-02-05 20:39:09</t>
        </is>
      </c>
      <c r="E79" t="inlineStr">
        <is>
          <t>69529a</t>
        </is>
      </c>
      <c r="F79" t="inlineStr">
        <is>
          <t>calstatela.edu_studenthealthcenter</t>
        </is>
      </c>
      <c r="G79" t="inlineStr">
        <is>
          <t>CSULA-content-manager_eop</t>
        </is>
      </c>
      <c r="H79" t="n">
        <v>1</v>
      </c>
      <c r="I79" t="n">
        <v>2</v>
      </c>
      <c r="J79" t="inlineStr">
        <is>
          <t>No</t>
        </is>
      </c>
      <c r="K79" t="n">
        <v>1</v>
      </c>
      <c r="L79" t="inlineStr">
        <is>
          <t>No</t>
        </is>
      </c>
      <c r="M79" t="inlineStr">
        <is>
          <t>Yes</t>
        </is>
      </c>
      <c r="N79" t="n">
        <v>1</v>
      </c>
      <c r="O79" t="inlineStr">
        <is>
          <t>No</t>
        </is>
      </c>
      <c r="P79" t="n">
        <v>0</v>
      </c>
      <c r="R79" t="n">
        <v>0</v>
      </c>
      <c r="S79" t="n">
        <v>0</v>
      </c>
      <c r="T79" t="n">
        <v>2</v>
      </c>
      <c r="U79" t="inlineStr">
        <is>
          <t>Yes</t>
        </is>
      </c>
      <c r="V79" t="inlineStr">
        <is>
          <t>No</t>
        </is>
      </c>
    </row>
  </sheetData>
  <dataValidations count="2">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showDropDown="0" showInputMessage="0" showErrorMessage="0" allowBlank="0" type="list">
      <formula1>"Yes,No"</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showDropDown="0" showInputMessage="0" showErrorMessage="0" allowBlank="0" type="list">
      <formula1>"Yes,No"</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V11"/>
  <sheetViews>
    <sheetView workbookViewId="0">
      <selection activeCell="A1" sqref="A1"/>
    </sheetView>
  </sheetViews>
  <sheetFormatPr baseColWidth="8" defaultRowHeight="15"/>
  <sheetData>
    <row r="1">
      <c r="A1" t="inlineStr">
        <is>
          <t>pdf_title</t>
        </is>
      </c>
      <c r="B1" t="inlineStr">
        <is>
          <t>pdf_uri</t>
        </is>
      </c>
      <c r="C1" t="inlineStr">
        <is>
          <t>parent_uri</t>
        </is>
      </c>
      <c r="D1" t="inlineStr">
        <is>
          <t>scanned_date</t>
        </is>
      </c>
      <c r="E1" t="inlineStr">
        <is>
          <t>fingerprint</t>
        </is>
      </c>
      <c r="F1" t="inlineStr">
        <is>
          <t>domain_name</t>
        </is>
      </c>
      <c r="G1" t="inlineStr">
        <is>
          <t>security_group_name</t>
        </is>
      </c>
      <c r="H1" t="inlineStr">
        <is>
          <t>drupal_site_id</t>
        </is>
      </c>
      <c r="I1" t="inlineStr">
        <is>
          <t>violations</t>
        </is>
      </c>
      <c r="J1" t="inlineStr">
        <is>
          <t>failed_checks</t>
        </is>
      </c>
      <c r="K1" t="inlineStr">
        <is>
          <t>tagged</t>
        </is>
      </c>
      <c r="L1" t="inlineStr">
        <is>
          <t>pdf_text_type</t>
        </is>
      </c>
      <c r="M1" t="inlineStr">
        <is>
          <t>title_set</t>
        </is>
      </c>
      <c r="N1" t="inlineStr">
        <is>
          <t>language_set</t>
        </is>
      </c>
      <c r="O1" t="inlineStr">
        <is>
          <t>page_count</t>
        </is>
      </c>
      <c r="P1" t="inlineStr">
        <is>
          <t>has_form</t>
        </is>
      </c>
      <c r="Q1" t="inlineStr">
        <is>
          <t>approved_pdf_exporter</t>
        </is>
      </c>
      <c r="R1" t="inlineStr">
        <is>
          <t>parent_returns_404</t>
        </is>
      </c>
      <c r="S1" t="inlineStr">
        <is>
          <t>pdf_returns_404</t>
        </is>
      </c>
      <c r="T1" t="inlineStr">
        <is>
          <t>Errors/Page</t>
        </is>
      </c>
      <c r="U1" t="inlineStr">
        <is>
          <t>Low Priority</t>
        </is>
      </c>
      <c r="V1" t="inlineStr">
        <is>
          <t>DPRC Will Remediate</t>
        </is>
      </c>
    </row>
    <row r="2">
      <c r="A2" s="2" t="inlineStr">
        <is>
          <t>resolution support smoke free campus</t>
        </is>
      </c>
      <c r="B2" s="3">
        <f>HYPERLINK("https://asicalstatela.org/sites/default/files/content/upload/2017/05/resolution-support-smoke-free-campus.pdf", "https://asicalstatela.org/sites/default/files/content/upload/2017/05/resolution-support-smoke-free-campus.pdf")</f>
        <v/>
      </c>
      <c r="C2" s="3">
        <f>HYPERLINK("https://www.calstatela.edu/studenthealthcenter/cal-state-la-cannabis-smoke-vape-and-tobacco-free", "https://www.calstatela.edu/studenthealthcenter/cal-state-la-cannabis-smoke-vape-and-tobacco-free")</f>
        <v/>
      </c>
      <c r="D2" s="2" t="inlineStr">
        <is>
          <t>2026-02-05 20:38:53</t>
        </is>
      </c>
      <c r="E2" s="2" t="inlineStr">
        <is>
          <t>2d56fe</t>
        </is>
      </c>
      <c r="F2" s="2" t="inlineStr">
        <is>
          <t>calstatela.edu_studenthealthcenter</t>
        </is>
      </c>
      <c r="G2" s="2" t="inlineStr">
        <is>
          <t>CSULA-content-manager_eop</t>
        </is>
      </c>
      <c r="H2" s="2" t="n">
        <v>1</v>
      </c>
      <c r="I2" s="2" t="n">
        <v>7</v>
      </c>
      <c r="J2" s="2" t="inlineStr">
        <is>
          <t>No</t>
        </is>
      </c>
      <c r="K2" s="2" t="n">
        <v>0</v>
      </c>
      <c r="L2" s="2" t="inlineStr">
        <is>
          <t>No</t>
        </is>
      </c>
      <c r="M2" s="2" t="inlineStr">
        <is>
          <t>Yes</t>
        </is>
      </c>
      <c r="N2" s="2" t="n">
        <v>0</v>
      </c>
      <c r="O2" s="2" t="inlineStr">
        <is>
          <t>No</t>
        </is>
      </c>
      <c r="P2" s="2" t="n">
        <v>0</v>
      </c>
      <c r="Q2" s="2" t="n"/>
      <c r="R2" s="2" t="n">
        <v>0</v>
      </c>
      <c r="S2" s="2" t="n">
        <v>0</v>
      </c>
      <c r="T2" s="2" t="n">
        <v>0</v>
      </c>
      <c r="U2" s="2" t="inlineStr">
        <is>
          <t>No</t>
        </is>
      </c>
      <c r="V2" s="2" t="inlineStr">
        <is>
          <t>No</t>
        </is>
      </c>
    </row>
    <row r="3">
      <c r="A3" t="inlineStr">
        <is>
          <t>teens brochure 2013</t>
        </is>
      </c>
      <c r="B3" s="1">
        <f>HYPERLINK("https://nida.nih.gov/sites/default/files/teens_brochure_2013.pdf", "https://nida.nih.gov/sites/default/files/teens_brochure_2013.pdf")</f>
        <v/>
      </c>
      <c r="C3" s="1">
        <f>HYPERLINK("https://www.calstatela.edu/studenthealthcenter/cal-state-la-cannabis-smoke-vape-and-tobacco-free", "https://www.calstatela.edu/studenthealthcenter/cal-state-la-cannabis-smoke-vape-and-tobacco-free")</f>
        <v/>
      </c>
      <c r="D3" t="inlineStr">
        <is>
          <t>2026-02-05 20:38:46</t>
        </is>
      </c>
      <c r="E3" t="inlineStr">
        <is>
          <t>95f4e7</t>
        </is>
      </c>
      <c r="F3" t="inlineStr">
        <is>
          <t>calstatela.edu_studenthealthcenter</t>
        </is>
      </c>
      <c r="G3" t="inlineStr">
        <is>
          <t>CSULA-content-manager_eop</t>
        </is>
      </c>
      <c r="H3" t="n">
        <v>1</v>
      </c>
      <c r="I3" t="n">
        <v>6</v>
      </c>
      <c r="J3" t="inlineStr">
        <is>
          <t>No</t>
        </is>
      </c>
      <c r="K3" t="n">
        <v>1</v>
      </c>
      <c r="L3" t="inlineStr">
        <is>
          <t>No</t>
        </is>
      </c>
      <c r="M3" t="inlineStr">
        <is>
          <t>No</t>
        </is>
      </c>
      <c r="N3" t="n">
        <v>0</v>
      </c>
      <c r="O3" t="inlineStr">
        <is>
          <t>No</t>
        </is>
      </c>
      <c r="P3" t="n">
        <v>0</v>
      </c>
      <c r="R3" t="n">
        <v>0</v>
      </c>
      <c r="S3" t="n">
        <v>0</v>
      </c>
      <c r="T3" t="n">
        <v>0</v>
      </c>
      <c r="U3" t="inlineStr">
        <is>
          <t>Yes</t>
        </is>
      </c>
      <c r="V3" t="inlineStr">
        <is>
          <t>No</t>
        </is>
      </c>
    </row>
    <row r="4">
      <c r="A4" s="2" t="inlineStr">
        <is>
          <t>1.13.23 notice</t>
        </is>
      </c>
      <c r="B4" s="3">
        <f>HYPERLINK("https://www.calstatela.edu/sites/default/files/1.13.23_notice.pdf", "https://www.calstatela.edu/sites/default/files/1.13.23_notice.pdf")</f>
        <v/>
      </c>
      <c r="C4" s="3">
        <f>HYPERLINK("https://www.calstatela.edu/studenthealthcenter/privacy-notice", "https://www.calstatela.edu/studenthealthcenter/privacy-notice")</f>
        <v/>
      </c>
      <c r="D4" s="2" t="inlineStr">
        <is>
          <t>2026-02-05 20:38:22</t>
        </is>
      </c>
      <c r="E4" s="2" t="inlineStr">
        <is>
          <t>7f2cf0</t>
        </is>
      </c>
      <c r="F4" s="2" t="inlineStr">
        <is>
          <t>calstatela.edu_studenthealthcenter</t>
        </is>
      </c>
      <c r="G4" s="2" t="inlineStr">
        <is>
          <t>CSULA-content-manager_eop</t>
        </is>
      </c>
      <c r="H4" s="2" t="n">
        <v>1</v>
      </c>
      <c r="I4" s="2" t="n">
        <v>6</v>
      </c>
      <c r="J4" s="2" t="inlineStr">
        <is>
          <t>No</t>
        </is>
      </c>
      <c r="K4" s="2" t="n">
        <v>0</v>
      </c>
      <c r="L4" s="2" t="inlineStr">
        <is>
          <t>No</t>
        </is>
      </c>
      <c r="M4" s="2" t="inlineStr">
        <is>
          <t>Yes</t>
        </is>
      </c>
      <c r="N4" s="2" t="n">
        <v>0</v>
      </c>
      <c r="O4" s="2" t="inlineStr">
        <is>
          <t>No</t>
        </is>
      </c>
      <c r="P4" s="2" t="n">
        <v>0</v>
      </c>
      <c r="Q4" s="2" t="n"/>
      <c r="R4" s="2" t="n">
        <v>0</v>
      </c>
      <c r="S4" s="2" t="n">
        <v>0</v>
      </c>
      <c r="T4" s="2" t="n">
        <v>0</v>
      </c>
      <c r="U4" s="2" t="inlineStr">
        <is>
          <t>No</t>
        </is>
      </c>
      <c r="V4" s="2" t="inlineStr">
        <is>
          <t>No</t>
        </is>
      </c>
    </row>
    <row r="5">
      <c r="A5" t="inlineStr">
        <is>
          <t>2025 Annual Security Report</t>
        </is>
      </c>
      <c r="B5" s="1">
        <f>HYPERLINK("https://www.calstatela.edu/sites/default/files/2025%20Annual%20Security%20Report.pdf", "https://www.calstatela.edu/sites/default/files/2025%20Annual%20Security%20Report.pdf")</f>
        <v/>
      </c>
      <c r="C5" s="1">
        <f>HYPERLINK("https://www.calstatela.edu/studenthealthcenter", "https://www.calstatela.edu/studenthealthcenter")</f>
        <v/>
      </c>
      <c r="D5" t="inlineStr">
        <is>
          <t>2026-02-05 20:38:01</t>
        </is>
      </c>
      <c r="E5" t="inlineStr">
        <is>
          <t>d35aba</t>
        </is>
      </c>
      <c r="F5" t="inlineStr">
        <is>
          <t>calstatela.edu_studenthealthcenter</t>
        </is>
      </c>
      <c r="G5" t="inlineStr">
        <is>
          <t>CSULA-content-manager_eop</t>
        </is>
      </c>
      <c r="H5" t="n">
        <v>1</v>
      </c>
      <c r="I5" t="n">
        <v>4</v>
      </c>
      <c r="J5" t="inlineStr">
        <is>
          <t>No</t>
        </is>
      </c>
      <c r="K5" t="n">
        <v>1</v>
      </c>
      <c r="L5" t="inlineStr">
        <is>
          <t>No</t>
        </is>
      </c>
      <c r="M5" t="inlineStr">
        <is>
          <t>Yes</t>
        </is>
      </c>
      <c r="N5" t="n">
        <v>1</v>
      </c>
      <c r="O5" t="inlineStr">
        <is>
          <t>No</t>
        </is>
      </c>
      <c r="P5" t="n">
        <v>0</v>
      </c>
      <c r="R5" t="n">
        <v>0</v>
      </c>
      <c r="S5" t="n">
        <v>0</v>
      </c>
      <c r="T5" t="n">
        <v>4</v>
      </c>
      <c r="U5" t="inlineStr">
        <is>
          <t>Yes</t>
        </is>
      </c>
      <c r="V5" t="inlineStr">
        <is>
          <t>No</t>
        </is>
      </c>
    </row>
    <row r="6">
      <c r="A6" t="inlineStr">
        <is>
          <t>2026 Campus Safety Plan</t>
        </is>
      </c>
      <c r="B6" s="1">
        <f>HYPERLINK("https://www.calstatela.edu/sites/default/files/2026%20Campus%20Safety%20Plan.pdf", "https://www.calstatela.edu/sites/default/files/2026%20Campus%20Safety%20Plan.pdf")</f>
        <v/>
      </c>
      <c r="C6" s="1">
        <f>HYPERLINK("https://www.calstatela.edu/studenthealthcenter", "https://www.calstatela.edu/studenthealthcenter")</f>
        <v/>
      </c>
      <c r="D6" t="inlineStr">
        <is>
          <t>2026-02-05 20:38:10</t>
        </is>
      </c>
      <c r="E6" t="inlineStr">
        <is>
          <t>69529a</t>
        </is>
      </c>
      <c r="F6" t="inlineStr">
        <is>
          <t>calstatela.edu_studenthealthcenter</t>
        </is>
      </c>
      <c r="G6" t="inlineStr">
        <is>
          <t>CSULA-content-manager_eop</t>
        </is>
      </c>
      <c r="H6" t="n">
        <v>1</v>
      </c>
      <c r="I6" t="n">
        <v>2</v>
      </c>
      <c r="J6" t="inlineStr">
        <is>
          <t>No</t>
        </is>
      </c>
      <c r="K6" t="n">
        <v>1</v>
      </c>
      <c r="L6" t="inlineStr">
        <is>
          <t>No</t>
        </is>
      </c>
      <c r="M6" t="inlineStr">
        <is>
          <t>Yes</t>
        </is>
      </c>
      <c r="N6" t="n">
        <v>1</v>
      </c>
      <c r="O6" t="inlineStr">
        <is>
          <t>No</t>
        </is>
      </c>
      <c r="P6" t="n">
        <v>0</v>
      </c>
      <c r="R6" t="n">
        <v>0</v>
      </c>
      <c r="S6" t="n">
        <v>0</v>
      </c>
      <c r="T6" t="n">
        <v>2</v>
      </c>
      <c r="U6" t="inlineStr">
        <is>
          <t>Yes</t>
        </is>
      </c>
      <c r="V6" t="inlineStr">
        <is>
          <t>No</t>
        </is>
      </c>
    </row>
    <row r="7">
      <c r="A7" s="2" t="inlineStr">
        <is>
          <t>authorization to release phi 081419</t>
        </is>
      </c>
      <c r="B7" s="3">
        <f>HYPERLINK("https://www.calstatela.edu/sites/default/files/authorization_to_release_phi_081419.pdf", "https://www.calstatela.edu/sites/default/files/authorization_to_release_phi_081419.pdf")</f>
        <v/>
      </c>
      <c r="C7" s="3">
        <f>HYPERLINK("https://www.calstatela.edu/studenthealthcenter/forms", "https://www.calstatela.edu/studenthealthcenter/forms")</f>
        <v/>
      </c>
      <c r="D7" s="2" t="inlineStr">
        <is>
          <t>2026-02-05 20:38:16</t>
        </is>
      </c>
      <c r="E7" s="2" t="inlineStr">
        <is>
          <t>9f4c3b</t>
        </is>
      </c>
      <c r="F7" s="2" t="inlineStr">
        <is>
          <t>calstatela.edu_studenthealthcenter</t>
        </is>
      </c>
      <c r="G7" s="2" t="inlineStr">
        <is>
          <t>CSULA-content-manager_eop</t>
        </is>
      </c>
      <c r="H7" s="2" t="n">
        <v>1</v>
      </c>
      <c r="I7" s="2" t="n">
        <v>2</v>
      </c>
      <c r="J7" s="2" t="inlineStr">
        <is>
          <t>No</t>
        </is>
      </c>
      <c r="K7" s="2" t="n">
        <v>1</v>
      </c>
      <c r="L7" s="2" t="inlineStr">
        <is>
          <t>No</t>
        </is>
      </c>
      <c r="M7" s="2" t="inlineStr">
        <is>
          <t>Yes</t>
        </is>
      </c>
      <c r="N7" s="2" t="n">
        <v>1</v>
      </c>
      <c r="O7" s="2" t="inlineStr">
        <is>
          <t>No</t>
        </is>
      </c>
      <c r="P7" s="2" t="n">
        <v>0</v>
      </c>
      <c r="Q7" s="2" t="n"/>
      <c r="R7" s="2" t="n">
        <v>0</v>
      </c>
      <c r="S7" s="2" t="n">
        <v>0</v>
      </c>
      <c r="T7" s="2" t="n">
        <v>2</v>
      </c>
      <c r="U7" s="2" t="inlineStr">
        <is>
          <t>No</t>
        </is>
      </c>
      <c r="V7" s="2" t="inlineStr">
        <is>
          <t>No</t>
        </is>
      </c>
    </row>
    <row r="8">
      <c r="A8" s="2" t="inlineStr">
        <is>
          <t>drug free campus policy</t>
        </is>
      </c>
      <c r="B8" s="3">
        <f>HYPERLINK("https://www.calstatela.edu/sites/default/files/drug-free_campus_policy.pdf", "https://www.calstatela.edu/sites/default/files/drug-free_campus_policy.pdf")</f>
        <v/>
      </c>
      <c r="C8" s="3">
        <f>HYPERLINK("https://www.calstatela.edu/studenthealthcenter/cal-state-la-cannabis-smoke-vape-and-tobacco-free", "https://www.calstatela.edu/studenthealthcenter/cal-state-la-cannabis-smoke-vape-and-tobacco-free")</f>
        <v/>
      </c>
      <c r="D8" s="2" t="inlineStr">
        <is>
          <t>2026-02-05 20:38:35</t>
        </is>
      </c>
      <c r="E8" s="2" t="inlineStr">
        <is>
          <t>8cc8c5</t>
        </is>
      </c>
      <c r="F8" s="2" t="inlineStr">
        <is>
          <t>calstatela.edu_studenthealthcenter</t>
        </is>
      </c>
      <c r="G8" s="2" t="inlineStr">
        <is>
          <t>CSULA-content-manager_eop</t>
        </is>
      </c>
      <c r="H8" s="2" t="n">
        <v>1</v>
      </c>
      <c r="I8" s="2" t="n">
        <v>6</v>
      </c>
      <c r="J8" s="2" t="inlineStr">
        <is>
          <t>No</t>
        </is>
      </c>
      <c r="K8" s="2" t="n">
        <v>0</v>
      </c>
      <c r="L8" s="2" t="inlineStr">
        <is>
          <t>No</t>
        </is>
      </c>
      <c r="M8" s="2" t="inlineStr">
        <is>
          <t>No</t>
        </is>
      </c>
      <c r="N8" s="2" t="n">
        <v>0</v>
      </c>
      <c r="O8" s="2" t="inlineStr">
        <is>
          <t>Yes</t>
        </is>
      </c>
      <c r="P8" s="2" t="n">
        <v>0</v>
      </c>
      <c r="Q8" s="2" t="n"/>
      <c r="R8" s="2" t="n">
        <v>0</v>
      </c>
      <c r="S8" s="2" t="n">
        <v>0</v>
      </c>
      <c r="T8" s="2" t="n">
        <v>0</v>
      </c>
      <c r="U8" s="2" t="inlineStr">
        <is>
          <t>No</t>
        </is>
      </c>
      <c r="V8" s="2" t="inlineStr">
        <is>
          <t>No</t>
        </is>
      </c>
    </row>
    <row r="9">
      <c r="A9" s="2" t="inlineStr">
        <is>
          <t>oedi rights and options 2022</t>
        </is>
      </c>
      <c r="B9" s="3">
        <f>HYPERLINK("https://www.calstatela.edu/sites/default/files/oedi_rights_and_options_2022.pdf", "https://www.calstatela.edu/sites/default/files/oedi_rights_and_options_2022.pdf")</f>
        <v/>
      </c>
      <c r="C9" s="3">
        <f>HYPERLINK("https://www.calstatela.edu/studenthealthcenter/safe/survivor-assistance-student-health-center", "https://www.calstatela.edu/studenthealthcenter/safe/survivor-assistance-student-health-center")</f>
        <v/>
      </c>
      <c r="D9" s="2" t="inlineStr">
        <is>
          <t>2026-02-05 20:39:09</t>
        </is>
      </c>
      <c r="E9" s="2" t="inlineStr">
        <is>
          <t>87e5b5</t>
        </is>
      </c>
      <c r="F9" s="2" t="inlineStr">
        <is>
          <t>calstatela.edu_studenthealthcenter</t>
        </is>
      </c>
      <c r="G9" s="2" t="inlineStr">
        <is>
          <t>CSULA-content-manager_eop</t>
        </is>
      </c>
      <c r="H9" s="2" t="n">
        <v>1</v>
      </c>
      <c r="I9" s="2" t="n">
        <v>6</v>
      </c>
      <c r="J9" s="2" t="inlineStr">
        <is>
          <t>No</t>
        </is>
      </c>
      <c r="K9" s="2" t="n">
        <v>0</v>
      </c>
      <c r="L9" s="2" t="inlineStr">
        <is>
          <t>No</t>
        </is>
      </c>
      <c r="M9" s="2" t="inlineStr">
        <is>
          <t>Yes</t>
        </is>
      </c>
      <c r="N9" s="2" t="n">
        <v>0</v>
      </c>
      <c r="O9" s="2" t="inlineStr">
        <is>
          <t>No</t>
        </is>
      </c>
      <c r="P9" s="2" t="n">
        <v>0</v>
      </c>
      <c r="Q9" s="2" t="n"/>
      <c r="R9" s="2" t="n">
        <v>0</v>
      </c>
      <c r="S9" s="2" t="n">
        <v>0</v>
      </c>
      <c r="T9" s="2" t="n">
        <v>0</v>
      </c>
      <c r="U9" s="2" t="inlineStr">
        <is>
          <t>No</t>
        </is>
      </c>
      <c r="V9" s="2" t="inlineStr">
        <is>
          <t>No</t>
        </is>
      </c>
    </row>
    <row r="10">
      <c r="A10" s="2" t="inlineStr">
        <is>
          <t>p001</t>
        </is>
      </c>
      <c r="B10" s="3">
        <f>HYPERLINK("https://www.calstatela.edu/sites/default/files/p001.pdf", "https://www.calstatela.edu/sites/default/files/p001.pdf")</f>
        <v/>
      </c>
      <c r="C10" s="3">
        <f>HYPERLINK("https://www.calstatela.edu/studenthealthcenter/cal-state-la-cannabis-smoke-vape-and-tobacco-free", "https://www.calstatela.edu/studenthealthcenter/cal-state-la-cannabis-smoke-vape-and-tobacco-free")</f>
        <v/>
      </c>
      <c r="D10" s="2" t="inlineStr">
        <is>
          <t>2026-02-05 20:38:28</t>
        </is>
      </c>
      <c r="E10" s="2" t="inlineStr">
        <is>
          <t>aca57e</t>
        </is>
      </c>
      <c r="F10" s="2" t="inlineStr">
        <is>
          <t>calstatela.edu_studenthealthcenter</t>
        </is>
      </c>
      <c r="G10" s="2" t="inlineStr">
        <is>
          <t>CSULA-content-manager_eop</t>
        </is>
      </c>
      <c r="H10" s="2" t="n">
        <v>1</v>
      </c>
      <c r="I10" s="2" t="n">
        <v>9</v>
      </c>
      <c r="J10" s="2" t="inlineStr">
        <is>
          <t>No</t>
        </is>
      </c>
      <c r="K10" s="2" t="n">
        <v>1</v>
      </c>
      <c r="L10" s="2" t="inlineStr">
        <is>
          <t>No</t>
        </is>
      </c>
      <c r="M10" s="2" t="inlineStr">
        <is>
          <t>Yes</t>
        </is>
      </c>
      <c r="N10" s="2" t="n">
        <v>1</v>
      </c>
      <c r="O10" s="2" t="inlineStr">
        <is>
          <t>No</t>
        </is>
      </c>
      <c r="P10" s="2" t="n">
        <v>0</v>
      </c>
      <c r="Q10" s="2" t="n"/>
      <c r="R10" s="2" t="n">
        <v>0</v>
      </c>
      <c r="S10" s="2" t="n">
        <v>0</v>
      </c>
      <c r="T10" s="2" t="n">
        <v>9</v>
      </c>
      <c r="U10" s="2" t="inlineStr">
        <is>
          <t>No</t>
        </is>
      </c>
      <c r="V10" s="2" t="inlineStr">
        <is>
          <t>No</t>
        </is>
      </c>
    </row>
    <row r="11">
      <c r="A11" s="2" t="inlineStr">
        <is>
          <t>splip 1718 insurance summary</t>
        </is>
      </c>
      <c r="B11" s="3">
        <f>HYPERLINK("https://www.calstatela.edu/sites/default/files/splip_-_1718_insurance_summary.pdf", "https://www.calstatela.edu/sites/default/files/splip_-_1718_insurance_summary.pdf")</f>
        <v/>
      </c>
      <c r="C11" s="3">
        <f>HYPERLINK("https://www.calstatela.edu/studenthealthcenter/ph-4960-internship-program", "https://www.calstatela.edu/studenthealthcenter/ph-4960-internship-program")</f>
        <v/>
      </c>
      <c r="D11" s="2" t="inlineStr">
        <is>
          <t>2026-02-05 20:39:02</t>
        </is>
      </c>
      <c r="E11" s="2" t="inlineStr">
        <is>
          <t>dc71ae</t>
        </is>
      </c>
      <c r="F11" s="2" t="inlineStr">
        <is>
          <t>calstatela.edu_studenthealthcenter</t>
        </is>
      </c>
      <c r="G11" s="2" t="inlineStr">
        <is>
          <t>CSULA-content-manager_eop</t>
        </is>
      </c>
      <c r="H11" s="2" t="n">
        <v>1</v>
      </c>
      <c r="I11" s="2" t="n">
        <v>7</v>
      </c>
      <c r="J11" s="2" t="inlineStr">
        <is>
          <t>No</t>
        </is>
      </c>
      <c r="K11" s="2" t="n">
        <v>1</v>
      </c>
      <c r="L11" s="2" t="inlineStr">
        <is>
          <t>No</t>
        </is>
      </c>
      <c r="M11" s="2" t="inlineStr">
        <is>
          <t>No</t>
        </is>
      </c>
      <c r="N11" s="2" t="n">
        <v>1</v>
      </c>
      <c r="O11" s="2" t="inlineStr">
        <is>
          <t>No</t>
        </is>
      </c>
      <c r="P11" s="2" t="n">
        <v>0</v>
      </c>
      <c r="Q11" s="2" t="n"/>
      <c r="R11" s="2" t="n">
        <v>0</v>
      </c>
      <c r="S11" s="2" t="n">
        <v>0</v>
      </c>
      <c r="T11" s="2" t="n">
        <v>7</v>
      </c>
      <c r="U11" s="2" t="inlineStr">
        <is>
          <t>No</t>
        </is>
      </c>
      <c r="V11" s="2" t="inlineStr">
        <is>
          <t>No</t>
        </is>
      </c>
    </row>
  </sheetData>
  <dataValidations count="2">
    <dataValidation sqref="U2 U3 U4 U5 U6 U7 U8 U9 U10 U11" showDropDown="0" showInputMessage="0" showErrorMessage="0" allowBlank="0" type="list">
      <formula1>"Yes,No"</formula1>
    </dataValidation>
    <dataValidation sqref="V2 V3 V4 V5 V6 V7 V8 V9 V10 V11" showDropDown="0" showInputMessage="0" showErrorMessage="0" allowBlank="0" type="list">
      <formula1>"Yes,No"</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V79"/>
  <sheetViews>
    <sheetView workbookViewId="0">
      <selection activeCell="A1" sqref="A1"/>
    </sheetView>
  </sheetViews>
  <sheetFormatPr baseColWidth="8" defaultRowHeight="15"/>
  <sheetData>
    <row r="1">
      <c r="A1" t="inlineStr">
        <is>
          <t>pdf_title</t>
        </is>
      </c>
      <c r="B1" t="inlineStr">
        <is>
          <t>pdf_uri</t>
        </is>
      </c>
      <c r="C1" t="inlineStr">
        <is>
          <t>parent_uri</t>
        </is>
      </c>
      <c r="D1" t="inlineStr">
        <is>
          <t>scanned_date</t>
        </is>
      </c>
      <c r="E1" t="inlineStr">
        <is>
          <t>fingerprint</t>
        </is>
      </c>
      <c r="F1" t="inlineStr">
        <is>
          <t>domain_name</t>
        </is>
      </c>
      <c r="G1" t="inlineStr">
        <is>
          <t>security_group_name</t>
        </is>
      </c>
      <c r="H1" t="inlineStr">
        <is>
          <t>drupal_site_id</t>
        </is>
      </c>
      <c r="I1" t="inlineStr">
        <is>
          <t>violations</t>
        </is>
      </c>
      <c r="J1" t="inlineStr">
        <is>
          <t>failed_checks</t>
        </is>
      </c>
      <c r="K1" t="inlineStr">
        <is>
          <t>tagged</t>
        </is>
      </c>
      <c r="L1" t="inlineStr">
        <is>
          <t>pdf_text_type</t>
        </is>
      </c>
      <c r="M1" t="inlineStr">
        <is>
          <t>title_set</t>
        </is>
      </c>
      <c r="N1" t="inlineStr">
        <is>
          <t>language_set</t>
        </is>
      </c>
      <c r="O1" t="inlineStr">
        <is>
          <t>page_count</t>
        </is>
      </c>
      <c r="P1" t="inlineStr">
        <is>
          <t>has_form</t>
        </is>
      </c>
      <c r="Q1" t="inlineStr">
        <is>
          <t>approved_pdf_exporter</t>
        </is>
      </c>
      <c r="R1" t="inlineStr">
        <is>
          <t>parent_returns_404</t>
        </is>
      </c>
      <c r="S1" t="inlineStr">
        <is>
          <t>pdf_returns_404</t>
        </is>
      </c>
      <c r="T1" t="inlineStr">
        <is>
          <t>Errors/Page</t>
        </is>
      </c>
      <c r="U1" t="inlineStr">
        <is>
          <t>Low Priority</t>
        </is>
      </c>
      <c r="V1" t="inlineStr">
        <is>
          <t>DPRC Will Remediate</t>
        </is>
      </c>
    </row>
    <row r="2">
      <c r="A2" s="2" t="inlineStr">
        <is>
          <t>resolution support smoke free campus</t>
        </is>
      </c>
      <c r="B2" s="3">
        <f>HYPERLINK("https://asicalstatela.org/sites/default/files/content/upload/2017/05/resolution-support-smoke-free-campus.pdf", "https://asicalstatela.org/sites/default/files/content/upload/2017/05/resolution-support-smoke-free-campus.pdf")</f>
        <v/>
      </c>
      <c r="C2" s="3">
        <f>HYPERLINK("https://www.calstatela.edu/studenthealthcenter/cal-state-la-cannabis-smoke-vape-and-tobacco-free", "https://www.calstatela.edu/studenthealthcenter/cal-state-la-cannabis-smoke-vape-and-tobacco-free")</f>
        <v/>
      </c>
      <c r="D2" s="2" t="inlineStr">
        <is>
          <t>2026-02-05 20:38:53</t>
        </is>
      </c>
      <c r="E2" s="2" t="inlineStr">
        <is>
          <t>2d56fe</t>
        </is>
      </c>
      <c r="F2" s="2" t="inlineStr">
        <is>
          <t>calstatela.edu_studenthealthcenter</t>
        </is>
      </c>
      <c r="G2" s="2" t="inlineStr">
        <is>
          <t>CSULA-content-manager_eop</t>
        </is>
      </c>
      <c r="H2" s="2" t="n">
        <v>1</v>
      </c>
      <c r="I2" s="2" t="n">
        <v>7</v>
      </c>
      <c r="J2" s="2" t="inlineStr">
        <is>
          <t>No</t>
        </is>
      </c>
      <c r="K2" s="2" t="n">
        <v>0</v>
      </c>
      <c r="L2" s="2" t="inlineStr">
        <is>
          <t>No</t>
        </is>
      </c>
      <c r="M2" s="2" t="inlineStr">
        <is>
          <t>Yes</t>
        </is>
      </c>
      <c r="N2" s="2" t="n">
        <v>0</v>
      </c>
      <c r="O2" s="2" t="inlineStr">
        <is>
          <t>No</t>
        </is>
      </c>
      <c r="P2" s="2" t="n">
        <v>0</v>
      </c>
      <c r="Q2" s="2" t="n"/>
      <c r="R2" s="2" t="n">
        <v>0</v>
      </c>
      <c r="S2" s="2" t="n">
        <v>0</v>
      </c>
      <c r="T2" s="2" t="n">
        <v>0</v>
      </c>
      <c r="U2" s="2" t="inlineStr">
        <is>
          <t>No</t>
        </is>
      </c>
      <c r="V2" s="2" t="inlineStr">
        <is>
          <t>No</t>
        </is>
      </c>
    </row>
    <row r="3">
      <c r="A3" t="inlineStr">
        <is>
          <t>teens brochure 2013</t>
        </is>
      </c>
      <c r="B3" s="1">
        <f>HYPERLINK("https://nida.nih.gov/sites/default/files/teens_brochure_2013.pdf", "https://nida.nih.gov/sites/default/files/teens_brochure_2013.pdf")</f>
        <v/>
      </c>
      <c r="C3" s="1">
        <f>HYPERLINK("https://www.calstatela.edu/studenthealthcenter/cal-state-la-cannabis-smoke-vape-and-tobacco-free", "https://www.calstatela.edu/studenthealthcenter/cal-state-la-cannabis-smoke-vape-and-tobacco-free")</f>
        <v/>
      </c>
      <c r="D3" t="inlineStr">
        <is>
          <t>2026-02-05 20:38:46</t>
        </is>
      </c>
      <c r="E3" t="inlineStr">
        <is>
          <t>95f4e7</t>
        </is>
      </c>
      <c r="F3" t="inlineStr">
        <is>
          <t>calstatela.edu_studenthealthcenter</t>
        </is>
      </c>
      <c r="G3" t="inlineStr">
        <is>
          <t>CSULA-content-manager_eop</t>
        </is>
      </c>
      <c r="H3" t="n">
        <v>1</v>
      </c>
      <c r="I3" t="n">
        <v>6</v>
      </c>
      <c r="J3" t="inlineStr">
        <is>
          <t>No</t>
        </is>
      </c>
      <c r="K3" t="n">
        <v>1</v>
      </c>
      <c r="L3" t="inlineStr">
        <is>
          <t>No</t>
        </is>
      </c>
      <c r="M3" t="inlineStr">
        <is>
          <t>No</t>
        </is>
      </c>
      <c r="N3" t="n">
        <v>0</v>
      </c>
      <c r="O3" t="inlineStr">
        <is>
          <t>No</t>
        </is>
      </c>
      <c r="P3" t="n">
        <v>0</v>
      </c>
      <c r="R3" t="n">
        <v>0</v>
      </c>
      <c r="S3" t="n">
        <v>0</v>
      </c>
      <c r="T3" t="n">
        <v>0</v>
      </c>
      <c r="U3" t="inlineStr">
        <is>
          <t>Yes</t>
        </is>
      </c>
      <c r="V3" t="inlineStr">
        <is>
          <t>No</t>
        </is>
      </c>
    </row>
    <row r="4">
      <c r="A4" s="2" t="inlineStr">
        <is>
          <t>1.13.23 notice</t>
        </is>
      </c>
      <c r="B4" s="3">
        <f>HYPERLINK("https://www.calstatela.edu/sites/default/files/1.13.23_notice.pdf", "https://www.calstatela.edu/sites/default/files/1.13.23_notice.pdf")</f>
        <v/>
      </c>
      <c r="C4" s="3">
        <f>HYPERLINK("https://www.calstatela.edu/studenthealthcenter/privacy-notice", "https://www.calstatela.edu/studenthealthcenter/privacy-notice")</f>
        <v/>
      </c>
      <c r="D4" s="2" t="inlineStr">
        <is>
          <t>2026-02-05 20:38:22</t>
        </is>
      </c>
      <c r="E4" s="2" t="inlineStr">
        <is>
          <t>7f2cf0</t>
        </is>
      </c>
      <c r="F4" s="2" t="inlineStr">
        <is>
          <t>calstatela.edu_studenthealthcenter</t>
        </is>
      </c>
      <c r="G4" s="2" t="inlineStr">
        <is>
          <t>CSULA-content-manager_eop</t>
        </is>
      </c>
      <c r="H4" s="2" t="n">
        <v>1</v>
      </c>
      <c r="I4" s="2" t="n">
        <v>6</v>
      </c>
      <c r="J4" s="2" t="inlineStr">
        <is>
          <t>No</t>
        </is>
      </c>
      <c r="K4" s="2" t="n">
        <v>0</v>
      </c>
      <c r="L4" s="2" t="inlineStr">
        <is>
          <t>No</t>
        </is>
      </c>
      <c r="M4" s="2" t="inlineStr">
        <is>
          <t>Yes</t>
        </is>
      </c>
      <c r="N4" s="2" t="n">
        <v>0</v>
      </c>
      <c r="O4" s="2" t="inlineStr">
        <is>
          <t>No</t>
        </is>
      </c>
      <c r="P4" s="2" t="n">
        <v>0</v>
      </c>
      <c r="Q4" s="2" t="n"/>
      <c r="R4" s="2" t="n">
        <v>0</v>
      </c>
      <c r="S4" s="2" t="n">
        <v>0</v>
      </c>
      <c r="T4" s="2" t="n">
        <v>0</v>
      </c>
      <c r="U4" s="2" t="inlineStr">
        <is>
          <t>No</t>
        </is>
      </c>
      <c r="V4" s="2" t="inlineStr">
        <is>
          <t>No</t>
        </is>
      </c>
    </row>
    <row r="5">
      <c r="A5" t="inlineStr">
        <is>
          <t>2025 Annual Security Report</t>
        </is>
      </c>
      <c r="B5" s="1">
        <f>HYPERLINK("https://www.calstatela.edu/sites/default/files/2025%20Annual%20Security%20Report.pdf", "https://www.calstatela.edu/sites/default/files/2025%20Annual%20Security%20Report.pdf")</f>
        <v/>
      </c>
      <c r="C5" s="1">
        <f>HYPERLINK("https://www.calstatela.edu/studenthealthcenter", "https://www.calstatela.edu/studenthealthcenter")</f>
        <v/>
      </c>
      <c r="D5" t="inlineStr">
        <is>
          <t>2026-02-05 20:38:01</t>
        </is>
      </c>
      <c r="E5" t="inlineStr">
        <is>
          <t>d35aba</t>
        </is>
      </c>
      <c r="F5" t="inlineStr">
        <is>
          <t>calstatela.edu_studenthealthcenter</t>
        </is>
      </c>
      <c r="G5" t="inlineStr">
        <is>
          <t>CSULA-content-manager_eop</t>
        </is>
      </c>
      <c r="H5" t="n">
        <v>1</v>
      </c>
      <c r="I5" t="n">
        <v>4</v>
      </c>
      <c r="J5" t="inlineStr">
        <is>
          <t>No</t>
        </is>
      </c>
      <c r="K5" t="n">
        <v>1</v>
      </c>
      <c r="L5" t="inlineStr">
        <is>
          <t>No</t>
        </is>
      </c>
      <c r="M5" t="inlineStr">
        <is>
          <t>Yes</t>
        </is>
      </c>
      <c r="N5" t="n">
        <v>1</v>
      </c>
      <c r="O5" t="inlineStr">
        <is>
          <t>No</t>
        </is>
      </c>
      <c r="P5" t="n">
        <v>0</v>
      </c>
      <c r="R5" t="n">
        <v>0</v>
      </c>
      <c r="S5" t="n">
        <v>0</v>
      </c>
      <c r="T5" t="n">
        <v>4</v>
      </c>
      <c r="U5" t="inlineStr">
        <is>
          <t>Yes</t>
        </is>
      </c>
      <c r="V5" t="inlineStr">
        <is>
          <t>No</t>
        </is>
      </c>
    </row>
    <row r="6">
      <c r="A6" t="inlineStr">
        <is>
          <t>2025 Annual Security Report</t>
        </is>
      </c>
      <c r="B6" s="1">
        <f>HYPERLINK("https://www.calstatela.edu/sites/default/files/2025%20Annual%20Security%20Report.pdf", "https://www.calstatela.edu/sites/default/files/2025%20Annual%20Security%20Report.pdf")</f>
        <v/>
      </c>
      <c r="C6" s="1">
        <f>HYPERLINK("https://www.calstatela.edu/studenthealthcenter/after-hours-and-emergencies-care", "https://www.calstatela.edu/studenthealthcenter/after-hours-and-emergencies-care")</f>
        <v/>
      </c>
      <c r="D6" t="inlineStr">
        <is>
          <t>2026-02-05 20:38:16</t>
        </is>
      </c>
      <c r="E6" t="inlineStr">
        <is>
          <t>d35aba</t>
        </is>
      </c>
      <c r="F6" t="inlineStr">
        <is>
          <t>calstatela.edu_studenthealthcenter</t>
        </is>
      </c>
      <c r="G6" t="inlineStr">
        <is>
          <t>CSULA-content-manager_eop</t>
        </is>
      </c>
      <c r="H6" t="n">
        <v>1</v>
      </c>
      <c r="I6" t="n">
        <v>4</v>
      </c>
      <c r="J6" t="inlineStr">
        <is>
          <t>No</t>
        </is>
      </c>
      <c r="K6" t="n">
        <v>1</v>
      </c>
      <c r="L6" t="inlineStr">
        <is>
          <t>No</t>
        </is>
      </c>
      <c r="M6" t="inlineStr">
        <is>
          <t>Yes</t>
        </is>
      </c>
      <c r="N6" t="n">
        <v>1</v>
      </c>
      <c r="O6" t="inlineStr">
        <is>
          <t>No</t>
        </is>
      </c>
      <c r="P6" t="n">
        <v>0</v>
      </c>
      <c r="R6" t="n">
        <v>0</v>
      </c>
      <c r="S6" t="n">
        <v>0</v>
      </c>
      <c r="T6" t="n">
        <v>4</v>
      </c>
      <c r="U6" t="inlineStr">
        <is>
          <t>Yes</t>
        </is>
      </c>
      <c r="V6" t="inlineStr">
        <is>
          <t>No</t>
        </is>
      </c>
    </row>
    <row r="7">
      <c r="A7" t="inlineStr">
        <is>
          <t>2025 Annual Security Report</t>
        </is>
      </c>
      <c r="B7" s="1">
        <f>HYPERLINK("https://www.calstatela.edu/sites/default/files/2025%20Annual%20Security%20Report.pdf", "https://www.calstatela.edu/sites/default/files/2025%20Annual%20Security%20Report.pdf")</f>
        <v/>
      </c>
      <c r="C7" s="1">
        <f>HYPERLINK("https://www.calstatela.edu/studenthealthcenter/alcohol-and-you", "https://www.calstatela.edu/studenthealthcenter/alcohol-and-you")</f>
        <v/>
      </c>
      <c r="D7" t="inlineStr">
        <is>
          <t>2026-02-05 20:38:53</t>
        </is>
      </c>
      <c r="E7" t="inlineStr">
        <is>
          <t>d35aba</t>
        </is>
      </c>
      <c r="F7" t="inlineStr">
        <is>
          <t>calstatela.edu_studenthealthcenter</t>
        </is>
      </c>
      <c r="G7" t="inlineStr">
        <is>
          <t>CSULA-content-manager_eop</t>
        </is>
      </c>
      <c r="H7" t="n">
        <v>1</v>
      </c>
      <c r="I7" t="n">
        <v>4</v>
      </c>
      <c r="J7" t="inlineStr">
        <is>
          <t>No</t>
        </is>
      </c>
      <c r="K7" t="n">
        <v>1</v>
      </c>
      <c r="L7" t="inlineStr">
        <is>
          <t>No</t>
        </is>
      </c>
      <c r="M7" t="inlineStr">
        <is>
          <t>Yes</t>
        </is>
      </c>
      <c r="N7" t="n">
        <v>1</v>
      </c>
      <c r="O7" t="inlineStr">
        <is>
          <t>No</t>
        </is>
      </c>
      <c r="P7" t="n">
        <v>0</v>
      </c>
      <c r="R7" t="n">
        <v>0</v>
      </c>
      <c r="S7" t="n">
        <v>0</v>
      </c>
      <c r="T7" t="n">
        <v>4</v>
      </c>
      <c r="U7" t="inlineStr">
        <is>
          <t>Yes</t>
        </is>
      </c>
      <c r="V7" t="inlineStr">
        <is>
          <t>No</t>
        </is>
      </c>
    </row>
    <row r="8">
      <c r="A8" t="inlineStr">
        <is>
          <t>2025 Annual Security Report</t>
        </is>
      </c>
      <c r="B8" s="1">
        <f>HYPERLINK("https://www.calstatela.edu/sites/default/files/2025%20Annual%20Security%20Report.pdf", "https://www.calstatela.edu/sites/default/files/2025%20Annual%20Security%20Report.pdf")</f>
        <v/>
      </c>
      <c r="C8" s="1">
        <f>HYPERLINK("https://www.calstatela.edu/studenthealthcenter/cal-state-la-cannabis-smoke-vape-and-tobacco-free", "https://www.calstatela.edu/studenthealthcenter/cal-state-la-cannabis-smoke-vape-and-tobacco-free")</f>
        <v/>
      </c>
      <c r="D8" t="inlineStr">
        <is>
          <t>2026-02-05 20:38:53</t>
        </is>
      </c>
      <c r="E8" t="inlineStr">
        <is>
          <t>d35aba</t>
        </is>
      </c>
      <c r="F8" t="inlineStr">
        <is>
          <t>calstatela.edu_studenthealthcenter</t>
        </is>
      </c>
      <c r="G8" t="inlineStr">
        <is>
          <t>CSULA-content-manager_eop</t>
        </is>
      </c>
      <c r="H8" t="n">
        <v>1</v>
      </c>
      <c r="I8" t="n">
        <v>4</v>
      </c>
      <c r="J8" t="inlineStr">
        <is>
          <t>No</t>
        </is>
      </c>
      <c r="K8" t="n">
        <v>1</v>
      </c>
      <c r="L8" t="inlineStr">
        <is>
          <t>No</t>
        </is>
      </c>
      <c r="M8" t="inlineStr">
        <is>
          <t>Yes</t>
        </is>
      </c>
      <c r="N8" t="n">
        <v>1</v>
      </c>
      <c r="O8" t="inlineStr">
        <is>
          <t>No</t>
        </is>
      </c>
      <c r="P8" t="n">
        <v>0</v>
      </c>
      <c r="R8" t="n">
        <v>0</v>
      </c>
      <c r="S8" t="n">
        <v>0</v>
      </c>
      <c r="T8" t="n">
        <v>4</v>
      </c>
      <c r="U8" t="inlineStr">
        <is>
          <t>Yes</t>
        </is>
      </c>
      <c r="V8" t="inlineStr">
        <is>
          <t>No</t>
        </is>
      </c>
    </row>
    <row r="9">
      <c r="A9" t="inlineStr">
        <is>
          <t>2025 Annual Security Report</t>
        </is>
      </c>
      <c r="B9" s="1">
        <f>HYPERLINK("https://www.calstatela.edu/sites/default/files/2025%20Annual%20Security%20Report.pdf", "https://www.calstatela.edu/sites/default/files/2025%20Annual%20Security%20Report.pdf")</f>
        <v/>
      </c>
      <c r="C9" s="1">
        <f>HYPERLINK("https://www.calstatela.edu/studenthealthcenter/caps", "https://www.calstatela.edu/studenthealthcenter/caps")</f>
        <v/>
      </c>
      <c r="D9" t="inlineStr">
        <is>
          <t>2026-02-05 20:39:02</t>
        </is>
      </c>
      <c r="E9" t="inlineStr">
        <is>
          <t>d35aba</t>
        </is>
      </c>
      <c r="F9" t="inlineStr">
        <is>
          <t>calstatela.edu_studenthealthcenter</t>
        </is>
      </c>
      <c r="G9" t="inlineStr">
        <is>
          <t>CSULA-content-manager_eop</t>
        </is>
      </c>
      <c r="H9" t="n">
        <v>1</v>
      </c>
      <c r="I9" t="n">
        <v>4</v>
      </c>
      <c r="J9" t="inlineStr">
        <is>
          <t>No</t>
        </is>
      </c>
      <c r="K9" t="n">
        <v>1</v>
      </c>
      <c r="L9" t="inlineStr">
        <is>
          <t>No</t>
        </is>
      </c>
      <c r="M9" t="inlineStr">
        <is>
          <t>Yes</t>
        </is>
      </c>
      <c r="N9" t="n">
        <v>1</v>
      </c>
      <c r="O9" t="inlineStr">
        <is>
          <t>No</t>
        </is>
      </c>
      <c r="P9" t="n">
        <v>0</v>
      </c>
      <c r="R9" t="n">
        <v>0</v>
      </c>
      <c r="S9" t="n">
        <v>0</v>
      </c>
      <c r="T9" t="n">
        <v>4</v>
      </c>
      <c r="U9" t="inlineStr">
        <is>
          <t>Yes</t>
        </is>
      </c>
      <c r="V9" t="inlineStr">
        <is>
          <t>No</t>
        </is>
      </c>
    </row>
    <row r="10">
      <c r="A10" t="inlineStr">
        <is>
          <t>2025 Annual Security Report</t>
        </is>
      </c>
      <c r="B10" s="1">
        <f>HYPERLINK("https://www.calstatela.edu/sites/default/files/2025%20Annual%20Security%20Report.pdf", "https://www.calstatela.edu/sites/default/files/2025%20Annual%20Security%20Report.pdf")</f>
        <v/>
      </c>
      <c r="C10" s="1">
        <f>HYPERLINK("https://www.calstatela.edu/studenthealthcenter/caps/caps-services", "https://www.calstatela.edu/studenthealthcenter/caps/caps-services")</f>
        <v/>
      </c>
      <c r="D10" t="inlineStr">
        <is>
          <t>2026-02-05 20:39:09</t>
        </is>
      </c>
      <c r="E10" t="inlineStr">
        <is>
          <t>d35aba</t>
        </is>
      </c>
      <c r="F10" t="inlineStr">
        <is>
          <t>calstatela.edu_studenthealthcenter</t>
        </is>
      </c>
      <c r="G10" t="inlineStr">
        <is>
          <t>CSULA-content-manager_eop</t>
        </is>
      </c>
      <c r="H10" t="n">
        <v>1</v>
      </c>
      <c r="I10" t="n">
        <v>4</v>
      </c>
      <c r="J10" t="inlineStr">
        <is>
          <t>No</t>
        </is>
      </c>
      <c r="K10" t="n">
        <v>1</v>
      </c>
      <c r="L10" t="inlineStr">
        <is>
          <t>No</t>
        </is>
      </c>
      <c r="M10" t="inlineStr">
        <is>
          <t>Yes</t>
        </is>
      </c>
      <c r="N10" t="n">
        <v>1</v>
      </c>
      <c r="O10" t="inlineStr">
        <is>
          <t>No</t>
        </is>
      </c>
      <c r="P10" t="n">
        <v>0</v>
      </c>
      <c r="R10" t="n">
        <v>0</v>
      </c>
      <c r="S10" t="n">
        <v>0</v>
      </c>
      <c r="T10" t="n">
        <v>4</v>
      </c>
      <c r="U10" t="inlineStr">
        <is>
          <t>Yes</t>
        </is>
      </c>
      <c r="V10" t="inlineStr">
        <is>
          <t>No</t>
        </is>
      </c>
    </row>
    <row r="11">
      <c r="A11" t="inlineStr">
        <is>
          <t>2025 Annual Security Report</t>
        </is>
      </c>
      <c r="B11" s="1">
        <f>HYPERLINK("https://www.calstatela.edu/sites/default/files/2025%20Annual%20Security%20Report.pdf", "https://www.calstatela.edu/sites/default/files/2025%20Annual%20Security%20Report.pdf")</f>
        <v/>
      </c>
      <c r="C11" s="1">
        <f>HYPERLINK("https://www.calstatela.edu/studenthealthcenter/caps/concerned-about-student", "https://www.calstatela.edu/studenthealthcenter/caps/concerned-about-student")</f>
        <v/>
      </c>
      <c r="D11" t="inlineStr">
        <is>
          <t>2026-02-05 20:39:09</t>
        </is>
      </c>
      <c r="E11" t="inlineStr">
        <is>
          <t>d35aba</t>
        </is>
      </c>
      <c r="F11" t="inlineStr">
        <is>
          <t>calstatela.edu_studenthealthcenter</t>
        </is>
      </c>
      <c r="G11" t="inlineStr">
        <is>
          <t>CSULA-content-manager_eop</t>
        </is>
      </c>
      <c r="H11" t="n">
        <v>1</v>
      </c>
      <c r="I11" t="n">
        <v>4</v>
      </c>
      <c r="J11" t="inlineStr">
        <is>
          <t>No</t>
        </is>
      </c>
      <c r="K11" t="n">
        <v>1</v>
      </c>
      <c r="L11" t="inlineStr">
        <is>
          <t>No</t>
        </is>
      </c>
      <c r="M11" t="inlineStr">
        <is>
          <t>Yes</t>
        </is>
      </c>
      <c r="N11" t="n">
        <v>1</v>
      </c>
      <c r="O11" t="inlineStr">
        <is>
          <t>No</t>
        </is>
      </c>
      <c r="P11" t="n">
        <v>0</v>
      </c>
      <c r="R11" t="n">
        <v>0</v>
      </c>
      <c r="S11" t="n">
        <v>0</v>
      </c>
      <c r="T11" t="n">
        <v>4</v>
      </c>
      <c r="U11" t="inlineStr">
        <is>
          <t>Yes</t>
        </is>
      </c>
      <c r="V11" t="inlineStr">
        <is>
          <t>No</t>
        </is>
      </c>
    </row>
    <row r="12">
      <c r="A12" t="inlineStr">
        <is>
          <t>2025 Annual Security Report</t>
        </is>
      </c>
      <c r="B12" s="1">
        <f>HYPERLINK("https://www.calstatela.edu/sites/default/files/2025%20Annual%20Security%20Report.pdf", "https://www.calstatela.edu/sites/default/files/2025%20Annual%20Security%20Report.pdf")</f>
        <v/>
      </c>
      <c r="C12" s="1">
        <f>HYPERLINK("https://www.calstatela.edu/studenthealthcenter/caps/eligibility-caps-services", "https://www.calstatela.edu/studenthealthcenter/caps/eligibility-caps-services")</f>
        <v/>
      </c>
      <c r="D12" t="inlineStr">
        <is>
          <t>2026-02-05 20:39:09</t>
        </is>
      </c>
      <c r="E12" t="inlineStr">
        <is>
          <t>d35aba</t>
        </is>
      </c>
      <c r="F12" t="inlineStr">
        <is>
          <t>calstatela.edu_studenthealthcenter</t>
        </is>
      </c>
      <c r="G12" t="inlineStr">
        <is>
          <t>CSULA-content-manager_eop</t>
        </is>
      </c>
      <c r="H12" t="n">
        <v>1</v>
      </c>
      <c r="I12" t="n">
        <v>4</v>
      </c>
      <c r="J12" t="inlineStr">
        <is>
          <t>No</t>
        </is>
      </c>
      <c r="K12" t="n">
        <v>1</v>
      </c>
      <c r="L12" t="inlineStr">
        <is>
          <t>No</t>
        </is>
      </c>
      <c r="M12" t="inlineStr">
        <is>
          <t>Yes</t>
        </is>
      </c>
      <c r="N12" t="n">
        <v>1</v>
      </c>
      <c r="O12" t="inlineStr">
        <is>
          <t>No</t>
        </is>
      </c>
      <c r="P12" t="n">
        <v>0</v>
      </c>
      <c r="R12" t="n">
        <v>0</v>
      </c>
      <c r="S12" t="n">
        <v>0</v>
      </c>
      <c r="T12" t="n">
        <v>4</v>
      </c>
      <c r="U12" t="inlineStr">
        <is>
          <t>Yes</t>
        </is>
      </c>
      <c r="V12" t="inlineStr">
        <is>
          <t>No</t>
        </is>
      </c>
    </row>
    <row r="13">
      <c r="A13" t="inlineStr">
        <is>
          <t>2025 Annual Security Report</t>
        </is>
      </c>
      <c r="B13" s="1">
        <f>HYPERLINK("https://www.calstatela.edu/sites/default/files/2025%20Annual%20Security%20Report.pdf", "https://www.calstatela.edu/sites/default/files/2025%20Annual%20Security%20Report.pdf")</f>
        <v/>
      </c>
      <c r="C13" s="1">
        <f>HYPERLINK("https://www.calstatela.edu/studenthealthcenter/caps/emergencies-after-hours", "https://www.calstatela.edu/studenthealthcenter/caps/emergencies-after-hours")</f>
        <v/>
      </c>
      <c r="D13" t="inlineStr">
        <is>
          <t>2026-02-05 20:39:09</t>
        </is>
      </c>
      <c r="E13" t="inlineStr">
        <is>
          <t>d35aba</t>
        </is>
      </c>
      <c r="F13" t="inlineStr">
        <is>
          <t>calstatela.edu_studenthealthcenter</t>
        </is>
      </c>
      <c r="G13" t="inlineStr">
        <is>
          <t>CSULA-content-manager_eop</t>
        </is>
      </c>
      <c r="H13" t="n">
        <v>1</v>
      </c>
      <c r="I13" t="n">
        <v>4</v>
      </c>
      <c r="J13" t="inlineStr">
        <is>
          <t>No</t>
        </is>
      </c>
      <c r="K13" t="n">
        <v>1</v>
      </c>
      <c r="L13" t="inlineStr">
        <is>
          <t>No</t>
        </is>
      </c>
      <c r="M13" t="inlineStr">
        <is>
          <t>Yes</t>
        </is>
      </c>
      <c r="N13" t="n">
        <v>1</v>
      </c>
      <c r="O13" t="inlineStr">
        <is>
          <t>No</t>
        </is>
      </c>
      <c r="P13" t="n">
        <v>0</v>
      </c>
      <c r="R13" t="n">
        <v>0</v>
      </c>
      <c r="S13" t="n">
        <v>0</v>
      </c>
      <c r="T13" t="n">
        <v>4</v>
      </c>
      <c r="U13" t="inlineStr">
        <is>
          <t>Yes</t>
        </is>
      </c>
      <c r="V13" t="inlineStr">
        <is>
          <t>No</t>
        </is>
      </c>
    </row>
    <row r="14">
      <c r="A14" t="inlineStr">
        <is>
          <t>2025 Annual Security Report</t>
        </is>
      </c>
      <c r="B14" s="1">
        <f>HYPERLINK("https://www.calstatela.edu/sites/default/files/2025%20Annual%20Security%20Report.pdf", "https://www.calstatela.edu/sites/default/files/2025%20Annual%20Security%20Report.pdf")</f>
        <v/>
      </c>
      <c r="C14" s="1">
        <f>HYPERLINK("https://www.calstatela.edu/studenthealthcenter/caps/make-appointment", "https://www.calstatela.edu/studenthealthcenter/caps/make-appointment")</f>
        <v/>
      </c>
      <c r="D14" t="inlineStr">
        <is>
          <t>2026-02-05 20:39:09</t>
        </is>
      </c>
      <c r="E14" t="inlineStr">
        <is>
          <t>d35aba</t>
        </is>
      </c>
      <c r="F14" t="inlineStr">
        <is>
          <t>calstatela.edu_studenthealthcenter</t>
        </is>
      </c>
      <c r="G14" t="inlineStr">
        <is>
          <t>CSULA-content-manager_eop</t>
        </is>
      </c>
      <c r="H14" t="n">
        <v>1</v>
      </c>
      <c r="I14" t="n">
        <v>4</v>
      </c>
      <c r="J14" t="inlineStr">
        <is>
          <t>No</t>
        </is>
      </c>
      <c r="K14" t="n">
        <v>1</v>
      </c>
      <c r="L14" t="inlineStr">
        <is>
          <t>No</t>
        </is>
      </c>
      <c r="M14" t="inlineStr">
        <is>
          <t>Yes</t>
        </is>
      </c>
      <c r="N14" t="n">
        <v>1</v>
      </c>
      <c r="O14" t="inlineStr">
        <is>
          <t>No</t>
        </is>
      </c>
      <c r="P14" t="n">
        <v>0</v>
      </c>
      <c r="R14" t="n">
        <v>0</v>
      </c>
      <c r="S14" t="n">
        <v>0</v>
      </c>
      <c r="T14" t="n">
        <v>4</v>
      </c>
      <c r="U14" t="inlineStr">
        <is>
          <t>Yes</t>
        </is>
      </c>
      <c r="V14" t="inlineStr">
        <is>
          <t>No</t>
        </is>
      </c>
    </row>
    <row r="15">
      <c r="A15" t="inlineStr">
        <is>
          <t>2025 Annual Security Report</t>
        </is>
      </c>
      <c r="B15" s="1">
        <f>HYPERLINK("https://www.calstatela.edu/sites/default/files/2025%20Annual%20Security%20Report.pdf", "https://www.calstatela.edu/sites/default/files/2025%20Annual%20Security%20Report.pdf")</f>
        <v/>
      </c>
      <c r="C15" s="1">
        <f>HYPERLINK("https://www.calstatela.edu/studenthealthcenter/caps/meet-team", "https://www.calstatela.edu/studenthealthcenter/caps/meet-team")</f>
        <v/>
      </c>
      <c r="D15" t="inlineStr">
        <is>
          <t>2026-02-05 20:39:09</t>
        </is>
      </c>
      <c r="E15" t="inlineStr">
        <is>
          <t>d35aba</t>
        </is>
      </c>
      <c r="F15" t="inlineStr">
        <is>
          <t>calstatela.edu_studenthealthcenter</t>
        </is>
      </c>
      <c r="G15" t="inlineStr">
        <is>
          <t>CSULA-content-manager_eop</t>
        </is>
      </c>
      <c r="H15" t="n">
        <v>1</v>
      </c>
      <c r="I15" t="n">
        <v>4</v>
      </c>
      <c r="J15" t="inlineStr">
        <is>
          <t>No</t>
        </is>
      </c>
      <c r="K15" t="n">
        <v>1</v>
      </c>
      <c r="L15" t="inlineStr">
        <is>
          <t>No</t>
        </is>
      </c>
      <c r="M15" t="inlineStr">
        <is>
          <t>Yes</t>
        </is>
      </c>
      <c r="N15" t="n">
        <v>1</v>
      </c>
      <c r="O15" t="inlineStr">
        <is>
          <t>No</t>
        </is>
      </c>
      <c r="P15" t="n">
        <v>0</v>
      </c>
      <c r="R15" t="n">
        <v>0</v>
      </c>
      <c r="S15" t="n">
        <v>0</v>
      </c>
      <c r="T15" t="n">
        <v>4</v>
      </c>
      <c r="U15" t="inlineStr">
        <is>
          <t>Yes</t>
        </is>
      </c>
      <c r="V15" t="inlineStr">
        <is>
          <t>No</t>
        </is>
      </c>
    </row>
    <row r="16">
      <c r="A16" t="inlineStr">
        <is>
          <t>2025 Annual Security Report</t>
        </is>
      </c>
      <c r="B16" s="1">
        <f>HYPERLINK("https://www.calstatela.edu/sites/default/files/2025%20Annual%20Security%20Report.pdf", "https://www.calstatela.edu/sites/default/files/2025%20Annual%20Security%20Report.pdf")</f>
        <v/>
      </c>
      <c r="C16" s="1">
        <f>HYPERLINK("https://www.calstatela.edu/studenthealthcenter/caps/support-groups", "https://www.calstatela.edu/studenthealthcenter/caps/support-groups")</f>
        <v/>
      </c>
      <c r="D16" t="inlineStr">
        <is>
          <t>2026-02-05 20:39:09</t>
        </is>
      </c>
      <c r="E16" t="inlineStr">
        <is>
          <t>d35aba</t>
        </is>
      </c>
      <c r="F16" t="inlineStr">
        <is>
          <t>calstatela.edu_studenthealthcenter</t>
        </is>
      </c>
      <c r="G16" t="inlineStr">
        <is>
          <t>CSULA-content-manager_eop</t>
        </is>
      </c>
      <c r="H16" t="n">
        <v>1</v>
      </c>
      <c r="I16" t="n">
        <v>4</v>
      </c>
      <c r="J16" t="inlineStr">
        <is>
          <t>No</t>
        </is>
      </c>
      <c r="K16" t="n">
        <v>1</v>
      </c>
      <c r="L16" t="inlineStr">
        <is>
          <t>No</t>
        </is>
      </c>
      <c r="M16" t="inlineStr">
        <is>
          <t>Yes</t>
        </is>
      </c>
      <c r="N16" t="n">
        <v>1</v>
      </c>
      <c r="O16" t="inlineStr">
        <is>
          <t>No</t>
        </is>
      </c>
      <c r="P16" t="n">
        <v>0</v>
      </c>
      <c r="R16" t="n">
        <v>0</v>
      </c>
      <c r="S16" t="n">
        <v>0</v>
      </c>
      <c r="T16" t="n">
        <v>4</v>
      </c>
      <c r="U16" t="inlineStr">
        <is>
          <t>Yes</t>
        </is>
      </c>
      <c r="V16" t="inlineStr">
        <is>
          <t>No</t>
        </is>
      </c>
    </row>
    <row r="17">
      <c r="A17" t="inlineStr">
        <is>
          <t>2025 Annual Security Report</t>
        </is>
      </c>
      <c r="B17" s="1">
        <f>HYPERLINK("https://www.calstatela.edu/sites/default/files/2025%20Annual%20Security%20Report.pdf", "https://www.calstatela.edu/sites/default/files/2025%20Annual%20Security%20Report.pdf")</f>
        <v/>
      </c>
      <c r="C17" s="1">
        <f>HYPERLINK("https://www.calstatela.edu/studenthealthcenter/caps/when-seek-counseling", "https://www.calstatela.edu/studenthealthcenter/caps/when-seek-counseling")</f>
        <v/>
      </c>
      <c r="D17" t="inlineStr">
        <is>
          <t>2026-02-05 20:39:09</t>
        </is>
      </c>
      <c r="E17" t="inlineStr">
        <is>
          <t>d35aba</t>
        </is>
      </c>
      <c r="F17" t="inlineStr">
        <is>
          <t>calstatela.edu_studenthealthcenter</t>
        </is>
      </c>
      <c r="G17" t="inlineStr">
        <is>
          <t>CSULA-content-manager_eop</t>
        </is>
      </c>
      <c r="H17" t="n">
        <v>1</v>
      </c>
      <c r="I17" t="n">
        <v>4</v>
      </c>
      <c r="J17" t="inlineStr">
        <is>
          <t>No</t>
        </is>
      </c>
      <c r="K17" t="n">
        <v>1</v>
      </c>
      <c r="L17" t="inlineStr">
        <is>
          <t>No</t>
        </is>
      </c>
      <c r="M17" t="inlineStr">
        <is>
          <t>Yes</t>
        </is>
      </c>
      <c r="N17" t="n">
        <v>1</v>
      </c>
      <c r="O17" t="inlineStr">
        <is>
          <t>No</t>
        </is>
      </c>
      <c r="P17" t="n">
        <v>0</v>
      </c>
      <c r="R17" t="n">
        <v>0</v>
      </c>
      <c r="S17" t="n">
        <v>0</v>
      </c>
      <c r="T17" t="n">
        <v>4</v>
      </c>
      <c r="U17" t="inlineStr">
        <is>
          <t>Yes</t>
        </is>
      </c>
      <c r="V17" t="inlineStr">
        <is>
          <t>No</t>
        </is>
      </c>
    </row>
    <row r="18">
      <c r="A18" t="inlineStr">
        <is>
          <t>2025 Annual Security Report</t>
        </is>
      </c>
      <c r="B18" s="1">
        <f>HYPERLINK("https://www.calstatela.edu/sites/default/files/2025%20Annual%20Security%20Report.pdf", "https://www.calstatela.edu/sites/default/files/2025%20Annual%20Security%20Report.pdf")</f>
        <v/>
      </c>
      <c r="C18" s="1">
        <f>HYPERLINK("https://www.calstatela.edu/studenthealthcenter/eligibility", "https://www.calstatela.edu/studenthealthcenter/eligibility")</f>
        <v/>
      </c>
      <c r="D18" t="inlineStr">
        <is>
          <t>2026-02-05 20:38:16</t>
        </is>
      </c>
      <c r="E18" t="inlineStr">
        <is>
          <t>d35aba</t>
        </is>
      </c>
      <c r="F18" t="inlineStr">
        <is>
          <t>calstatela.edu_studenthealthcenter</t>
        </is>
      </c>
      <c r="G18" t="inlineStr">
        <is>
          <t>CSULA-content-manager_eop</t>
        </is>
      </c>
      <c r="H18" t="n">
        <v>1</v>
      </c>
      <c r="I18" t="n">
        <v>4</v>
      </c>
      <c r="J18" t="inlineStr">
        <is>
          <t>No</t>
        </is>
      </c>
      <c r="K18" t="n">
        <v>1</v>
      </c>
      <c r="L18" t="inlineStr">
        <is>
          <t>No</t>
        </is>
      </c>
      <c r="M18" t="inlineStr">
        <is>
          <t>Yes</t>
        </is>
      </c>
      <c r="N18" t="n">
        <v>1</v>
      </c>
      <c r="O18" t="inlineStr">
        <is>
          <t>No</t>
        </is>
      </c>
      <c r="P18" t="n">
        <v>0</v>
      </c>
      <c r="R18" t="n">
        <v>0</v>
      </c>
      <c r="S18" t="n">
        <v>0</v>
      </c>
      <c r="T18" t="n">
        <v>4</v>
      </c>
      <c r="U18" t="inlineStr">
        <is>
          <t>Yes</t>
        </is>
      </c>
      <c r="V18" t="inlineStr">
        <is>
          <t>No</t>
        </is>
      </c>
    </row>
    <row r="19">
      <c r="A19" t="inlineStr">
        <is>
          <t>2025 Annual Security Report</t>
        </is>
      </c>
      <c r="B19" s="1">
        <f>HYPERLINK("https://www.calstatela.edu/sites/default/files/2025%20Annual%20Security%20Report.pdf", "https://www.calstatela.edu/sites/default/files/2025%20Annual%20Security%20Report.pdf")</f>
        <v/>
      </c>
      <c r="C19" s="1">
        <f>HYPERLINK("https://www.calstatela.edu/studenthealthcenter/enrollment-immunization-and-screening-requirements", "https://www.calstatela.edu/studenthealthcenter/enrollment-immunization-and-screening-requirements")</f>
        <v/>
      </c>
      <c r="D19" t="inlineStr">
        <is>
          <t>2026-02-05 20:38:16</t>
        </is>
      </c>
      <c r="E19" t="inlineStr">
        <is>
          <t>d35aba</t>
        </is>
      </c>
      <c r="F19" t="inlineStr">
        <is>
          <t>calstatela.edu_studenthealthcenter</t>
        </is>
      </c>
      <c r="G19" t="inlineStr">
        <is>
          <t>CSULA-content-manager_eop</t>
        </is>
      </c>
      <c r="H19" t="n">
        <v>1</v>
      </c>
      <c r="I19" t="n">
        <v>4</v>
      </c>
      <c r="J19" t="inlineStr">
        <is>
          <t>No</t>
        </is>
      </c>
      <c r="K19" t="n">
        <v>1</v>
      </c>
      <c r="L19" t="inlineStr">
        <is>
          <t>No</t>
        </is>
      </c>
      <c r="M19" t="inlineStr">
        <is>
          <t>Yes</t>
        </is>
      </c>
      <c r="N19" t="n">
        <v>1</v>
      </c>
      <c r="O19" t="inlineStr">
        <is>
          <t>No</t>
        </is>
      </c>
      <c r="P19" t="n">
        <v>0</v>
      </c>
      <c r="R19" t="n">
        <v>0</v>
      </c>
      <c r="S19" t="n">
        <v>0</v>
      </c>
      <c r="T19" t="n">
        <v>4</v>
      </c>
      <c r="U19" t="inlineStr">
        <is>
          <t>Yes</t>
        </is>
      </c>
      <c r="V19" t="inlineStr">
        <is>
          <t>No</t>
        </is>
      </c>
    </row>
    <row r="20">
      <c r="A20" t="inlineStr">
        <is>
          <t>2025 Annual Security Report</t>
        </is>
      </c>
      <c r="B20" s="1">
        <f>HYPERLINK("https://www.calstatela.edu/sites/default/files/2025%20Annual%20Security%20Report.pdf", "https://www.calstatela.edu/sites/default/files/2025%20Annual%20Security%20Report.pdf")</f>
        <v/>
      </c>
      <c r="C20" s="1">
        <f>HYPERLINK("https://www.calstatela.edu/studenthealthcenter/family-planning", "https://www.calstatela.edu/studenthealthcenter/family-planning")</f>
        <v/>
      </c>
      <c r="D20" t="inlineStr">
        <is>
          <t>2026-02-05 20:38:16</t>
        </is>
      </c>
      <c r="E20" t="inlineStr">
        <is>
          <t>d35aba</t>
        </is>
      </c>
      <c r="F20" t="inlineStr">
        <is>
          <t>calstatela.edu_studenthealthcenter</t>
        </is>
      </c>
      <c r="G20" t="inlineStr">
        <is>
          <t>CSULA-content-manager_eop</t>
        </is>
      </c>
      <c r="H20" t="n">
        <v>1</v>
      </c>
      <c r="I20" t="n">
        <v>4</v>
      </c>
      <c r="J20" t="inlineStr">
        <is>
          <t>No</t>
        </is>
      </c>
      <c r="K20" t="n">
        <v>1</v>
      </c>
      <c r="L20" t="inlineStr">
        <is>
          <t>No</t>
        </is>
      </c>
      <c r="M20" t="inlineStr">
        <is>
          <t>Yes</t>
        </is>
      </c>
      <c r="N20" t="n">
        <v>1</v>
      </c>
      <c r="O20" t="inlineStr">
        <is>
          <t>No</t>
        </is>
      </c>
      <c r="P20" t="n">
        <v>0</v>
      </c>
      <c r="R20" t="n">
        <v>0</v>
      </c>
      <c r="S20" t="n">
        <v>0</v>
      </c>
      <c r="T20" t="n">
        <v>4</v>
      </c>
      <c r="U20" t="inlineStr">
        <is>
          <t>Yes</t>
        </is>
      </c>
      <c r="V20" t="inlineStr">
        <is>
          <t>No</t>
        </is>
      </c>
    </row>
    <row r="21">
      <c r="A21" t="inlineStr">
        <is>
          <t>2025 Annual Security Report</t>
        </is>
      </c>
      <c r="B21" s="1">
        <f>HYPERLINK("https://www.calstatela.edu/sites/default/files/2025%20Annual%20Security%20Report.pdf", "https://www.calstatela.edu/sites/default/files/2025%20Annual%20Security%20Report.pdf")</f>
        <v/>
      </c>
      <c r="C21" s="1">
        <f>HYPERLINK("https://www.calstatela.edu/studenthealthcenter/forms", "https://www.calstatela.edu/studenthealthcenter/forms")</f>
        <v/>
      </c>
      <c r="D21" t="inlineStr">
        <is>
          <t>2026-02-05 20:38:16</t>
        </is>
      </c>
      <c r="E21" t="inlineStr">
        <is>
          <t>d35aba</t>
        </is>
      </c>
      <c r="F21" t="inlineStr">
        <is>
          <t>calstatela.edu_studenthealthcenter</t>
        </is>
      </c>
      <c r="G21" t="inlineStr">
        <is>
          <t>CSULA-content-manager_eop</t>
        </is>
      </c>
      <c r="H21" t="n">
        <v>1</v>
      </c>
      <c r="I21" t="n">
        <v>4</v>
      </c>
      <c r="J21" t="inlineStr">
        <is>
          <t>No</t>
        </is>
      </c>
      <c r="K21" t="n">
        <v>1</v>
      </c>
      <c r="L21" t="inlineStr">
        <is>
          <t>No</t>
        </is>
      </c>
      <c r="M21" t="inlineStr">
        <is>
          <t>Yes</t>
        </is>
      </c>
      <c r="N21" t="n">
        <v>1</v>
      </c>
      <c r="O21" t="inlineStr">
        <is>
          <t>No</t>
        </is>
      </c>
      <c r="P21" t="n">
        <v>0</v>
      </c>
      <c r="R21" t="n">
        <v>0</v>
      </c>
      <c r="S21" t="n">
        <v>0</v>
      </c>
      <c r="T21" t="n">
        <v>4</v>
      </c>
      <c r="U21" t="inlineStr">
        <is>
          <t>Yes</t>
        </is>
      </c>
      <c r="V21" t="inlineStr">
        <is>
          <t>No</t>
        </is>
      </c>
    </row>
    <row r="22">
      <c r="A22" t="inlineStr">
        <is>
          <t>2025 Annual Security Report</t>
        </is>
      </c>
      <c r="B22" s="1">
        <f>HYPERLINK("https://www.calstatela.edu/sites/default/files/2025%20Annual%20Security%20Report.pdf", "https://www.calstatela.edu/sites/default/files/2025%20Annual%20Security%20Report.pdf")</f>
        <v/>
      </c>
      <c r="C22" s="1">
        <f>HYPERLINK("https://www.calstatela.edu/studenthealthcenter/health-education", "https://www.calstatela.edu/studenthealthcenter/health-education")</f>
        <v/>
      </c>
      <c r="D22" t="inlineStr">
        <is>
          <t>2026-02-05 20:38:16</t>
        </is>
      </c>
      <c r="E22" t="inlineStr">
        <is>
          <t>d35aba</t>
        </is>
      </c>
      <c r="F22" t="inlineStr">
        <is>
          <t>calstatela.edu_studenthealthcenter</t>
        </is>
      </c>
      <c r="G22" t="inlineStr">
        <is>
          <t>CSULA-content-manager_eop</t>
        </is>
      </c>
      <c r="H22" t="n">
        <v>1</v>
      </c>
      <c r="I22" t="n">
        <v>4</v>
      </c>
      <c r="J22" t="inlineStr">
        <is>
          <t>No</t>
        </is>
      </c>
      <c r="K22" t="n">
        <v>1</v>
      </c>
      <c r="L22" t="inlineStr">
        <is>
          <t>No</t>
        </is>
      </c>
      <c r="M22" t="inlineStr">
        <is>
          <t>Yes</t>
        </is>
      </c>
      <c r="N22" t="n">
        <v>1</v>
      </c>
      <c r="O22" t="inlineStr">
        <is>
          <t>No</t>
        </is>
      </c>
      <c r="P22" t="n">
        <v>0</v>
      </c>
      <c r="R22" t="n">
        <v>0</v>
      </c>
      <c r="S22" t="n">
        <v>0</v>
      </c>
      <c r="T22" t="n">
        <v>4</v>
      </c>
      <c r="U22" t="inlineStr">
        <is>
          <t>Yes</t>
        </is>
      </c>
      <c r="V22" t="inlineStr">
        <is>
          <t>No</t>
        </is>
      </c>
    </row>
    <row r="23">
      <c r="A23" t="inlineStr">
        <is>
          <t>2025 Annual Security Report</t>
        </is>
      </c>
      <c r="B23" s="1">
        <f>HYPERLINK("https://www.calstatela.edu/sites/default/files/2025%20Annual%20Security%20Report.pdf", "https://www.calstatela.edu/sites/default/files/2025%20Annual%20Security%20Report.pdf")</f>
        <v/>
      </c>
      <c r="C23" s="1">
        <f>HYPERLINK("https://www.calstatela.edu/studenthealthcenter/hotlines-and-resources", "https://www.calstatela.edu/studenthealthcenter/hotlines-and-resources")</f>
        <v/>
      </c>
      <c r="D23" t="inlineStr">
        <is>
          <t>2026-02-05 20:38:16</t>
        </is>
      </c>
      <c r="E23" t="inlineStr">
        <is>
          <t>d35aba</t>
        </is>
      </c>
      <c r="F23" t="inlineStr">
        <is>
          <t>calstatela.edu_studenthealthcenter</t>
        </is>
      </c>
      <c r="G23" t="inlineStr">
        <is>
          <t>CSULA-content-manager_eop</t>
        </is>
      </c>
      <c r="H23" t="n">
        <v>1</v>
      </c>
      <c r="I23" t="n">
        <v>4</v>
      </c>
      <c r="J23" t="inlineStr">
        <is>
          <t>No</t>
        </is>
      </c>
      <c r="K23" t="n">
        <v>1</v>
      </c>
      <c r="L23" t="inlineStr">
        <is>
          <t>No</t>
        </is>
      </c>
      <c r="M23" t="inlineStr">
        <is>
          <t>Yes</t>
        </is>
      </c>
      <c r="N23" t="n">
        <v>1</v>
      </c>
      <c r="O23" t="inlineStr">
        <is>
          <t>No</t>
        </is>
      </c>
      <c r="P23" t="n">
        <v>0</v>
      </c>
      <c r="R23" t="n">
        <v>0</v>
      </c>
      <c r="S23" t="n">
        <v>0</v>
      </c>
      <c r="T23" t="n">
        <v>4</v>
      </c>
      <c r="U23" t="inlineStr">
        <is>
          <t>Yes</t>
        </is>
      </c>
      <c r="V23" t="inlineStr">
        <is>
          <t>No</t>
        </is>
      </c>
    </row>
    <row r="24">
      <c r="A24" t="inlineStr">
        <is>
          <t>2025 Annual Security Report</t>
        </is>
      </c>
      <c r="B24" s="1">
        <f>HYPERLINK("https://www.calstatela.edu/sites/default/files/2025%20Annual%20Security%20Report.pdf", "https://www.calstatela.edu/sites/default/files/2025%20Annual%20Security%20Report.pdf")</f>
        <v/>
      </c>
      <c r="C24" s="1">
        <f>HYPERLINK("https://www.calstatela.edu/studenthealthcenter/measles-what-you-need-know", "https://www.calstatela.edu/studenthealthcenter/measles-what-you-need-know")</f>
        <v/>
      </c>
      <c r="D24" t="inlineStr">
        <is>
          <t>2026-02-05 20:38:53</t>
        </is>
      </c>
      <c r="E24" t="inlineStr">
        <is>
          <t>d35aba</t>
        </is>
      </c>
      <c r="F24" t="inlineStr">
        <is>
          <t>calstatela.edu_studenthealthcenter</t>
        </is>
      </c>
      <c r="G24" t="inlineStr">
        <is>
          <t>CSULA-content-manager_eop</t>
        </is>
      </c>
      <c r="H24" t="n">
        <v>1</v>
      </c>
      <c r="I24" t="n">
        <v>4</v>
      </c>
      <c r="J24" t="inlineStr">
        <is>
          <t>No</t>
        </is>
      </c>
      <c r="K24" t="n">
        <v>1</v>
      </c>
      <c r="L24" t="inlineStr">
        <is>
          <t>No</t>
        </is>
      </c>
      <c r="M24" t="inlineStr">
        <is>
          <t>Yes</t>
        </is>
      </c>
      <c r="N24" t="n">
        <v>1</v>
      </c>
      <c r="O24" t="inlineStr">
        <is>
          <t>No</t>
        </is>
      </c>
      <c r="P24" t="n">
        <v>0</v>
      </c>
      <c r="R24" t="n">
        <v>0</v>
      </c>
      <c r="S24" t="n">
        <v>0</v>
      </c>
      <c r="T24" t="n">
        <v>4</v>
      </c>
      <c r="U24" t="inlineStr">
        <is>
          <t>Yes</t>
        </is>
      </c>
      <c r="V24" t="inlineStr">
        <is>
          <t>No</t>
        </is>
      </c>
    </row>
    <row r="25">
      <c r="A25" t="inlineStr">
        <is>
          <t>2025 Annual Security Report</t>
        </is>
      </c>
      <c r="B25" s="1">
        <f>HYPERLINK("https://www.calstatela.edu/sites/default/files/2025%20Annual%20Security%20Report.pdf", "https://www.calstatela.edu/sites/default/files/2025%20Annual%20Security%20Report.pdf")</f>
        <v/>
      </c>
      <c r="C25" s="1">
        <f>HYPERLINK("https://www.calstatela.edu/studenthealthcenter/mental-health-first-aid-training", "https://www.calstatela.edu/studenthealthcenter/mental-health-first-aid-training")</f>
        <v/>
      </c>
      <c r="D25" t="inlineStr">
        <is>
          <t>2026-02-05 20:38:53</t>
        </is>
      </c>
      <c r="E25" t="inlineStr">
        <is>
          <t>d35aba</t>
        </is>
      </c>
      <c r="F25" t="inlineStr">
        <is>
          <t>calstatela.edu_studenthealthcenter</t>
        </is>
      </c>
      <c r="G25" t="inlineStr">
        <is>
          <t>CSULA-content-manager_eop</t>
        </is>
      </c>
      <c r="H25" t="n">
        <v>1</v>
      </c>
      <c r="I25" t="n">
        <v>4</v>
      </c>
      <c r="J25" t="inlineStr">
        <is>
          <t>No</t>
        </is>
      </c>
      <c r="K25" t="n">
        <v>1</v>
      </c>
      <c r="L25" t="inlineStr">
        <is>
          <t>No</t>
        </is>
      </c>
      <c r="M25" t="inlineStr">
        <is>
          <t>Yes</t>
        </is>
      </c>
      <c r="N25" t="n">
        <v>1</v>
      </c>
      <c r="O25" t="inlineStr">
        <is>
          <t>No</t>
        </is>
      </c>
      <c r="P25" t="n">
        <v>0</v>
      </c>
      <c r="R25" t="n">
        <v>0</v>
      </c>
      <c r="S25" t="n">
        <v>0</v>
      </c>
      <c r="T25" t="n">
        <v>4</v>
      </c>
      <c r="U25" t="inlineStr">
        <is>
          <t>Yes</t>
        </is>
      </c>
      <c r="V25" t="inlineStr">
        <is>
          <t>No</t>
        </is>
      </c>
    </row>
    <row r="26">
      <c r="A26" t="inlineStr">
        <is>
          <t>2025 Annual Security Report</t>
        </is>
      </c>
      <c r="B26" s="1">
        <f>HYPERLINK("https://www.calstatela.edu/sites/default/files/2025%20Annual%20Security%20Report.pdf", "https://www.calstatela.edu/sites/default/files/2025%20Annual%20Security%20Report.pdf")</f>
        <v/>
      </c>
      <c r="C26" s="1">
        <f>HYPERLINK("https://www.calstatela.edu/studenthealthcenter/naloxone-training", "https://www.calstatela.edu/studenthealthcenter/naloxone-training")</f>
        <v/>
      </c>
      <c r="D26" t="inlineStr">
        <is>
          <t>2026-02-05 20:38:53</t>
        </is>
      </c>
      <c r="E26" t="inlineStr">
        <is>
          <t>d35aba</t>
        </is>
      </c>
      <c r="F26" t="inlineStr">
        <is>
          <t>calstatela.edu_studenthealthcenter</t>
        </is>
      </c>
      <c r="G26" t="inlineStr">
        <is>
          <t>CSULA-content-manager_eop</t>
        </is>
      </c>
      <c r="H26" t="n">
        <v>1</v>
      </c>
      <c r="I26" t="n">
        <v>4</v>
      </c>
      <c r="J26" t="inlineStr">
        <is>
          <t>No</t>
        </is>
      </c>
      <c r="K26" t="n">
        <v>1</v>
      </c>
      <c r="L26" t="inlineStr">
        <is>
          <t>No</t>
        </is>
      </c>
      <c r="M26" t="inlineStr">
        <is>
          <t>Yes</t>
        </is>
      </c>
      <c r="N26" t="n">
        <v>1</v>
      </c>
      <c r="O26" t="inlineStr">
        <is>
          <t>No</t>
        </is>
      </c>
      <c r="P26" t="n">
        <v>0</v>
      </c>
      <c r="R26" t="n">
        <v>0</v>
      </c>
      <c r="S26" t="n">
        <v>0</v>
      </c>
      <c r="T26" t="n">
        <v>4</v>
      </c>
      <c r="U26" t="inlineStr">
        <is>
          <t>Yes</t>
        </is>
      </c>
      <c r="V26" t="inlineStr">
        <is>
          <t>No</t>
        </is>
      </c>
    </row>
    <row r="27">
      <c r="A27" t="inlineStr">
        <is>
          <t>2025 Annual Security Report</t>
        </is>
      </c>
      <c r="B27" s="1">
        <f>HYPERLINK("https://www.calstatela.edu/sites/default/files/2025%20Annual%20Security%20Report.pdf", "https://www.calstatela.edu/sites/default/files/2025%20Annual%20Security%20Report.pdf")</f>
        <v/>
      </c>
      <c r="C27" s="1">
        <f>HYPERLINK("https://www.calstatela.edu/studenthealthcenter/our-staff", "https://www.calstatela.edu/studenthealthcenter/our-staff")</f>
        <v/>
      </c>
      <c r="D27" t="inlineStr">
        <is>
          <t>2026-02-05 20:38:16</t>
        </is>
      </c>
      <c r="E27" t="inlineStr">
        <is>
          <t>d35aba</t>
        </is>
      </c>
      <c r="F27" t="inlineStr">
        <is>
          <t>calstatela.edu_studenthealthcenter</t>
        </is>
      </c>
      <c r="G27" t="inlineStr">
        <is>
          <t>CSULA-content-manager_eop</t>
        </is>
      </c>
      <c r="H27" t="n">
        <v>1</v>
      </c>
      <c r="I27" t="n">
        <v>4</v>
      </c>
      <c r="J27" t="inlineStr">
        <is>
          <t>No</t>
        </is>
      </c>
      <c r="K27" t="n">
        <v>1</v>
      </c>
      <c r="L27" t="inlineStr">
        <is>
          <t>No</t>
        </is>
      </c>
      <c r="M27" t="inlineStr">
        <is>
          <t>Yes</t>
        </is>
      </c>
      <c r="N27" t="n">
        <v>1</v>
      </c>
      <c r="O27" t="inlineStr">
        <is>
          <t>No</t>
        </is>
      </c>
      <c r="P27" t="n">
        <v>0</v>
      </c>
      <c r="R27" t="n">
        <v>0</v>
      </c>
      <c r="S27" t="n">
        <v>0</v>
      </c>
      <c r="T27" t="n">
        <v>4</v>
      </c>
      <c r="U27" t="inlineStr">
        <is>
          <t>Yes</t>
        </is>
      </c>
      <c r="V27" t="inlineStr">
        <is>
          <t>No</t>
        </is>
      </c>
    </row>
    <row r="28">
      <c r="A28" t="inlineStr">
        <is>
          <t>2025 Annual Security Report</t>
        </is>
      </c>
      <c r="B28" s="1">
        <f>HYPERLINK("https://www.calstatela.edu/sites/default/files/2025%20Annual%20Security%20Report.pdf", "https://www.calstatela.edu/sites/default/files/2025%20Annual%20Security%20Report.pdf")</f>
        <v/>
      </c>
      <c r="C28" s="1">
        <f>HYPERLINK("https://www.calstatela.edu/studenthealthcenter/patient-portal", "https://www.calstatela.edu/studenthealthcenter/patient-portal")</f>
        <v/>
      </c>
      <c r="D28" t="inlineStr">
        <is>
          <t>2026-02-05 20:38:16</t>
        </is>
      </c>
      <c r="E28" t="inlineStr">
        <is>
          <t>d35aba</t>
        </is>
      </c>
      <c r="F28" t="inlineStr">
        <is>
          <t>calstatela.edu_studenthealthcenter</t>
        </is>
      </c>
      <c r="G28" t="inlineStr">
        <is>
          <t>CSULA-content-manager_eop</t>
        </is>
      </c>
      <c r="H28" t="n">
        <v>1</v>
      </c>
      <c r="I28" t="n">
        <v>4</v>
      </c>
      <c r="J28" t="inlineStr">
        <is>
          <t>No</t>
        </is>
      </c>
      <c r="K28" t="n">
        <v>1</v>
      </c>
      <c r="L28" t="inlineStr">
        <is>
          <t>No</t>
        </is>
      </c>
      <c r="M28" t="inlineStr">
        <is>
          <t>Yes</t>
        </is>
      </c>
      <c r="N28" t="n">
        <v>1</v>
      </c>
      <c r="O28" t="inlineStr">
        <is>
          <t>No</t>
        </is>
      </c>
      <c r="P28" t="n">
        <v>0</v>
      </c>
      <c r="R28" t="n">
        <v>0</v>
      </c>
      <c r="S28" t="n">
        <v>0</v>
      </c>
      <c r="T28" t="n">
        <v>4</v>
      </c>
      <c r="U28" t="inlineStr">
        <is>
          <t>Yes</t>
        </is>
      </c>
      <c r="V28" t="inlineStr">
        <is>
          <t>No</t>
        </is>
      </c>
    </row>
    <row r="29">
      <c r="A29" t="inlineStr">
        <is>
          <t>2025 Annual Security Report</t>
        </is>
      </c>
      <c r="B29" s="1">
        <f>HYPERLINK("https://www.calstatela.edu/sites/default/files/2025%20Annual%20Security%20Report.pdf", "https://www.calstatela.edu/sites/default/files/2025%20Annual%20Security%20Report.pdf")</f>
        <v/>
      </c>
      <c r="C29" s="1">
        <f>HYPERLINK("https://www.calstatela.edu/studenthealthcenter/patient-satisfaction-rights-and-responsibilities", "https://www.calstatela.edu/studenthealthcenter/patient-satisfaction-rights-and-responsibilities")</f>
        <v/>
      </c>
      <c r="D29" t="inlineStr">
        <is>
          <t>2026-02-05 20:38:16</t>
        </is>
      </c>
      <c r="E29" t="inlineStr">
        <is>
          <t>d35aba</t>
        </is>
      </c>
      <c r="F29" t="inlineStr">
        <is>
          <t>calstatela.edu_studenthealthcenter</t>
        </is>
      </c>
      <c r="G29" t="inlineStr">
        <is>
          <t>CSULA-content-manager_eop</t>
        </is>
      </c>
      <c r="H29" t="n">
        <v>1</v>
      </c>
      <c r="I29" t="n">
        <v>4</v>
      </c>
      <c r="J29" t="inlineStr">
        <is>
          <t>No</t>
        </is>
      </c>
      <c r="K29" t="n">
        <v>1</v>
      </c>
      <c r="L29" t="inlineStr">
        <is>
          <t>No</t>
        </is>
      </c>
      <c r="M29" t="inlineStr">
        <is>
          <t>Yes</t>
        </is>
      </c>
      <c r="N29" t="n">
        <v>1</v>
      </c>
      <c r="O29" t="inlineStr">
        <is>
          <t>No</t>
        </is>
      </c>
      <c r="P29" t="n">
        <v>0</v>
      </c>
      <c r="R29" t="n">
        <v>0</v>
      </c>
      <c r="S29" t="n">
        <v>0</v>
      </c>
      <c r="T29" t="n">
        <v>4</v>
      </c>
      <c r="U29" t="inlineStr">
        <is>
          <t>Yes</t>
        </is>
      </c>
      <c r="V29" t="inlineStr">
        <is>
          <t>No</t>
        </is>
      </c>
    </row>
    <row r="30">
      <c r="A30" t="inlineStr">
        <is>
          <t>2025 Annual Security Report</t>
        </is>
      </c>
      <c r="B30" s="1">
        <f>HYPERLINK("https://www.calstatela.edu/sites/default/files/2025%20Annual%20Security%20Report.pdf", "https://www.calstatela.edu/sites/default/files/2025%20Annual%20Security%20Report.pdf")</f>
        <v/>
      </c>
      <c r="C30" s="1">
        <f>HYPERLINK("https://www.calstatela.edu/studenthealthcenter/peace-over-violence", "https://www.calstatela.edu/studenthealthcenter/peace-over-violence")</f>
        <v/>
      </c>
      <c r="D30" t="inlineStr">
        <is>
          <t>2026-02-05 20:39:02</t>
        </is>
      </c>
      <c r="E30" t="inlineStr">
        <is>
          <t>d35aba</t>
        </is>
      </c>
      <c r="F30" t="inlineStr">
        <is>
          <t>calstatela.edu_studenthealthcenter</t>
        </is>
      </c>
      <c r="G30" t="inlineStr">
        <is>
          <t>CSULA-content-manager_eop</t>
        </is>
      </c>
      <c r="H30" t="n">
        <v>1</v>
      </c>
      <c r="I30" t="n">
        <v>4</v>
      </c>
      <c r="J30" t="inlineStr">
        <is>
          <t>No</t>
        </is>
      </c>
      <c r="K30" t="n">
        <v>1</v>
      </c>
      <c r="L30" t="inlineStr">
        <is>
          <t>No</t>
        </is>
      </c>
      <c r="M30" t="inlineStr">
        <is>
          <t>Yes</t>
        </is>
      </c>
      <c r="N30" t="n">
        <v>1</v>
      </c>
      <c r="O30" t="inlineStr">
        <is>
          <t>No</t>
        </is>
      </c>
      <c r="P30" t="n">
        <v>0</v>
      </c>
      <c r="R30" t="n">
        <v>0</v>
      </c>
      <c r="S30" t="n">
        <v>0</v>
      </c>
      <c r="T30" t="n">
        <v>4</v>
      </c>
      <c r="U30" t="inlineStr">
        <is>
          <t>Yes</t>
        </is>
      </c>
      <c r="V30" t="inlineStr">
        <is>
          <t>No</t>
        </is>
      </c>
    </row>
    <row r="31">
      <c r="A31" t="inlineStr">
        <is>
          <t>2025 Annual Security Report</t>
        </is>
      </c>
      <c r="B31" s="1">
        <f>HYPERLINK("https://www.calstatela.edu/sites/default/files/2025%20Annual%20Security%20Report.pdf", "https://www.calstatela.edu/sites/default/files/2025%20Annual%20Security%20Report.pdf")</f>
        <v/>
      </c>
      <c r="C31" s="1">
        <f>HYPERLINK("https://www.calstatela.edu/studenthealthcenter/ph-4960-internship-program", "https://www.calstatela.edu/studenthealthcenter/ph-4960-internship-program")</f>
        <v/>
      </c>
      <c r="D31" t="inlineStr">
        <is>
          <t>2026-02-05 20:39:02</t>
        </is>
      </c>
      <c r="E31" t="inlineStr">
        <is>
          <t>d35aba</t>
        </is>
      </c>
      <c r="F31" t="inlineStr">
        <is>
          <t>calstatela.edu_studenthealthcenter</t>
        </is>
      </c>
      <c r="G31" t="inlineStr">
        <is>
          <t>CSULA-content-manager_eop</t>
        </is>
      </c>
      <c r="H31" t="n">
        <v>1</v>
      </c>
      <c r="I31" t="n">
        <v>4</v>
      </c>
      <c r="J31" t="inlineStr">
        <is>
          <t>No</t>
        </is>
      </c>
      <c r="K31" t="n">
        <v>1</v>
      </c>
      <c r="L31" t="inlineStr">
        <is>
          <t>No</t>
        </is>
      </c>
      <c r="M31" t="inlineStr">
        <is>
          <t>Yes</t>
        </is>
      </c>
      <c r="N31" t="n">
        <v>1</v>
      </c>
      <c r="O31" t="inlineStr">
        <is>
          <t>No</t>
        </is>
      </c>
      <c r="P31" t="n">
        <v>0</v>
      </c>
      <c r="R31" t="n">
        <v>0</v>
      </c>
      <c r="S31" t="n">
        <v>0</v>
      </c>
      <c r="T31" t="n">
        <v>4</v>
      </c>
      <c r="U31" t="inlineStr">
        <is>
          <t>Yes</t>
        </is>
      </c>
      <c r="V31" t="inlineStr">
        <is>
          <t>No</t>
        </is>
      </c>
    </row>
    <row r="32">
      <c r="A32" t="inlineStr">
        <is>
          <t>2025 Annual Security Report</t>
        </is>
      </c>
      <c r="B32" s="1">
        <f>HYPERLINK("https://www.calstatela.edu/sites/default/files/2025%20Annual%20Security%20Report.pdf", "https://www.calstatela.edu/sites/default/files/2025%20Annual%20Security%20Report.pdf")</f>
        <v/>
      </c>
      <c r="C32" s="1">
        <f>HYPERLINK("https://www.calstatela.edu/studenthealthcenter/privacy-notice", "https://www.calstatela.edu/studenthealthcenter/privacy-notice")</f>
        <v/>
      </c>
      <c r="D32" t="inlineStr">
        <is>
          <t>2026-02-05 20:38:22</t>
        </is>
      </c>
      <c r="E32" t="inlineStr">
        <is>
          <t>d35aba</t>
        </is>
      </c>
      <c r="F32" t="inlineStr">
        <is>
          <t>calstatela.edu_studenthealthcenter</t>
        </is>
      </c>
      <c r="G32" t="inlineStr">
        <is>
          <t>CSULA-content-manager_eop</t>
        </is>
      </c>
      <c r="H32" t="n">
        <v>1</v>
      </c>
      <c r="I32" t="n">
        <v>4</v>
      </c>
      <c r="J32" t="inlineStr">
        <is>
          <t>No</t>
        </is>
      </c>
      <c r="K32" t="n">
        <v>1</v>
      </c>
      <c r="L32" t="inlineStr">
        <is>
          <t>No</t>
        </is>
      </c>
      <c r="M32" t="inlineStr">
        <is>
          <t>Yes</t>
        </is>
      </c>
      <c r="N32" t="n">
        <v>1</v>
      </c>
      <c r="O32" t="inlineStr">
        <is>
          <t>No</t>
        </is>
      </c>
      <c r="P32" t="n">
        <v>0</v>
      </c>
      <c r="R32" t="n">
        <v>0</v>
      </c>
      <c r="S32" t="n">
        <v>0</v>
      </c>
      <c r="T32" t="n">
        <v>4</v>
      </c>
      <c r="U32" t="inlineStr">
        <is>
          <t>Yes</t>
        </is>
      </c>
      <c r="V32" t="inlineStr">
        <is>
          <t>No</t>
        </is>
      </c>
    </row>
    <row r="33">
      <c r="A33" t="inlineStr">
        <is>
          <t>2025 Annual Security Report</t>
        </is>
      </c>
      <c r="B33" s="1">
        <f>HYPERLINK("https://www.calstatela.edu/sites/default/files/2025%20Annual%20Security%20Report.pdf", "https://www.calstatela.edu/sites/default/files/2025%20Annual%20Security%20Report.pdf")</f>
        <v/>
      </c>
      <c r="C33" s="1">
        <f>HYPERLINK("https://www.calstatela.edu/studenthealthcenter/safe", "https://www.calstatela.edu/studenthealthcenter/safe")</f>
        <v/>
      </c>
      <c r="D33" t="inlineStr">
        <is>
          <t>2026-02-05 20:38:16</t>
        </is>
      </c>
      <c r="E33" t="inlineStr">
        <is>
          <t>d35aba</t>
        </is>
      </c>
      <c r="F33" t="inlineStr">
        <is>
          <t>calstatela.edu_studenthealthcenter</t>
        </is>
      </c>
      <c r="G33" t="inlineStr">
        <is>
          <t>CSULA-content-manager_eop</t>
        </is>
      </c>
      <c r="H33" t="n">
        <v>1</v>
      </c>
      <c r="I33" t="n">
        <v>4</v>
      </c>
      <c r="J33" t="inlineStr">
        <is>
          <t>No</t>
        </is>
      </c>
      <c r="K33" t="n">
        <v>1</v>
      </c>
      <c r="L33" t="inlineStr">
        <is>
          <t>No</t>
        </is>
      </c>
      <c r="M33" t="inlineStr">
        <is>
          <t>Yes</t>
        </is>
      </c>
      <c r="N33" t="n">
        <v>1</v>
      </c>
      <c r="O33" t="inlineStr">
        <is>
          <t>No</t>
        </is>
      </c>
      <c r="P33" t="n">
        <v>0</v>
      </c>
      <c r="R33" t="n">
        <v>0</v>
      </c>
      <c r="S33" t="n">
        <v>0</v>
      </c>
      <c r="T33" t="n">
        <v>4</v>
      </c>
      <c r="U33" t="inlineStr">
        <is>
          <t>Yes</t>
        </is>
      </c>
      <c r="V33" t="inlineStr">
        <is>
          <t>No</t>
        </is>
      </c>
    </row>
    <row r="34">
      <c r="A34" t="inlineStr">
        <is>
          <t>2025 Annual Security Report</t>
        </is>
      </c>
      <c r="B34" s="1">
        <f>HYPERLINK("https://www.calstatela.edu/sites/default/files/2025%20Annual%20Security%20Report.pdf", "https://www.calstatela.edu/sites/default/files/2025%20Annual%20Security%20Report.pdf")</f>
        <v/>
      </c>
      <c r="C34" s="1">
        <f>HYPERLINK("https://www.calstatela.edu/studenthealthcenter/safe/24-hour-hotlines-and-local-services", "https://www.calstatela.edu/studenthealthcenter/safe/24-hour-hotlines-and-local-services")</f>
        <v/>
      </c>
      <c r="D34" t="inlineStr">
        <is>
          <t>2026-02-05 20:39:02</t>
        </is>
      </c>
      <c r="E34" t="inlineStr">
        <is>
          <t>d35aba</t>
        </is>
      </c>
      <c r="F34" t="inlineStr">
        <is>
          <t>calstatela.edu_studenthealthcenter</t>
        </is>
      </c>
      <c r="G34" t="inlineStr">
        <is>
          <t>CSULA-content-manager_eop</t>
        </is>
      </c>
      <c r="H34" t="n">
        <v>1</v>
      </c>
      <c r="I34" t="n">
        <v>4</v>
      </c>
      <c r="J34" t="inlineStr">
        <is>
          <t>No</t>
        </is>
      </c>
      <c r="K34" t="n">
        <v>1</v>
      </c>
      <c r="L34" t="inlineStr">
        <is>
          <t>No</t>
        </is>
      </c>
      <c r="M34" t="inlineStr">
        <is>
          <t>Yes</t>
        </is>
      </c>
      <c r="N34" t="n">
        <v>1</v>
      </c>
      <c r="O34" t="inlineStr">
        <is>
          <t>No</t>
        </is>
      </c>
      <c r="P34" t="n">
        <v>0</v>
      </c>
      <c r="R34" t="n">
        <v>0</v>
      </c>
      <c r="S34" t="n">
        <v>0</v>
      </c>
      <c r="T34" t="n">
        <v>4</v>
      </c>
      <c r="U34" t="inlineStr">
        <is>
          <t>Yes</t>
        </is>
      </c>
      <c r="V34" t="inlineStr">
        <is>
          <t>No</t>
        </is>
      </c>
    </row>
    <row r="35">
      <c r="A35" t="inlineStr">
        <is>
          <t>2025 Annual Security Report</t>
        </is>
      </c>
      <c r="B35" s="1">
        <f>HYPERLINK("https://www.calstatela.edu/sites/default/files/2025%20Annual%20Security%20Report.pdf", "https://www.calstatela.edu/sites/default/files/2025%20Annual%20Security%20Report.pdf")</f>
        <v/>
      </c>
      <c r="C35" s="1">
        <f>HYPERLINK("https://www.calstatela.edu/studenthealthcenter/safe/education-awareness", "https://www.calstatela.edu/studenthealthcenter/safe/education-awareness")</f>
        <v/>
      </c>
      <c r="D35" t="inlineStr">
        <is>
          <t>2026-02-05 20:39:02</t>
        </is>
      </c>
      <c r="E35" t="inlineStr">
        <is>
          <t>d35aba</t>
        </is>
      </c>
      <c r="F35" t="inlineStr">
        <is>
          <t>calstatela.edu_studenthealthcenter</t>
        </is>
      </c>
      <c r="G35" t="inlineStr">
        <is>
          <t>CSULA-content-manager_eop</t>
        </is>
      </c>
      <c r="H35" t="n">
        <v>1</v>
      </c>
      <c r="I35" t="n">
        <v>4</v>
      </c>
      <c r="J35" t="inlineStr">
        <is>
          <t>No</t>
        </is>
      </c>
      <c r="K35" t="n">
        <v>1</v>
      </c>
      <c r="L35" t="inlineStr">
        <is>
          <t>No</t>
        </is>
      </c>
      <c r="M35" t="inlineStr">
        <is>
          <t>Yes</t>
        </is>
      </c>
      <c r="N35" t="n">
        <v>1</v>
      </c>
      <c r="O35" t="inlineStr">
        <is>
          <t>No</t>
        </is>
      </c>
      <c r="P35" t="n">
        <v>0</v>
      </c>
      <c r="R35" t="n">
        <v>0</v>
      </c>
      <c r="S35" t="n">
        <v>0</v>
      </c>
      <c r="T35" t="n">
        <v>4</v>
      </c>
      <c r="U35" t="inlineStr">
        <is>
          <t>Yes</t>
        </is>
      </c>
      <c r="V35" t="inlineStr">
        <is>
          <t>No</t>
        </is>
      </c>
    </row>
    <row r="36">
      <c r="A36" t="inlineStr">
        <is>
          <t>2025 Annual Security Report</t>
        </is>
      </c>
      <c r="B36" s="1">
        <f>HYPERLINK("https://www.calstatela.edu/sites/default/files/2025%20Annual%20Security%20Report.pdf", "https://www.calstatela.edu/sites/default/files/2025%20Annual%20Security%20Report.pdf")</f>
        <v/>
      </c>
      <c r="C36" s="1">
        <f>HYPERLINK("https://www.calstatela.edu/studenthealthcenter/safe/resources", "https://www.calstatela.edu/studenthealthcenter/safe/resources")</f>
        <v/>
      </c>
      <c r="D36" t="inlineStr">
        <is>
          <t>2026-02-05 20:39:09</t>
        </is>
      </c>
      <c r="E36" t="inlineStr">
        <is>
          <t>d35aba</t>
        </is>
      </c>
      <c r="F36" t="inlineStr">
        <is>
          <t>calstatela.edu_studenthealthcenter</t>
        </is>
      </c>
      <c r="G36" t="inlineStr">
        <is>
          <t>CSULA-content-manager_eop</t>
        </is>
      </c>
      <c r="H36" t="n">
        <v>1</v>
      </c>
      <c r="I36" t="n">
        <v>4</v>
      </c>
      <c r="J36" t="inlineStr">
        <is>
          <t>No</t>
        </is>
      </c>
      <c r="K36" t="n">
        <v>1</v>
      </c>
      <c r="L36" t="inlineStr">
        <is>
          <t>No</t>
        </is>
      </c>
      <c r="M36" t="inlineStr">
        <is>
          <t>Yes</t>
        </is>
      </c>
      <c r="N36" t="n">
        <v>1</v>
      </c>
      <c r="O36" t="inlineStr">
        <is>
          <t>No</t>
        </is>
      </c>
      <c r="P36" t="n">
        <v>0</v>
      </c>
      <c r="R36" t="n">
        <v>0</v>
      </c>
      <c r="S36" t="n">
        <v>0</v>
      </c>
      <c r="T36" t="n">
        <v>4</v>
      </c>
      <c r="U36" t="inlineStr">
        <is>
          <t>Yes</t>
        </is>
      </c>
      <c r="V36" t="inlineStr">
        <is>
          <t>No</t>
        </is>
      </c>
    </row>
    <row r="37">
      <c r="A37" t="inlineStr">
        <is>
          <t>2025 Annual Security Report</t>
        </is>
      </c>
      <c r="B37" s="1">
        <f>HYPERLINK("https://www.calstatela.edu/sites/default/files/2025%20Annual%20Security%20Report.pdf", "https://www.calstatela.edu/sites/default/files/2025%20Annual%20Security%20Report.pdf")</f>
        <v/>
      </c>
      <c r="C37" s="1">
        <f>HYPERLINK("https://www.calstatela.edu/studenthealthcenter/safe/survivor-assistance-student-health-center", "https://www.calstatela.edu/studenthealthcenter/safe/survivor-assistance-student-health-center")</f>
        <v/>
      </c>
      <c r="D37" t="inlineStr">
        <is>
          <t>2026-02-05 20:39:09</t>
        </is>
      </c>
      <c r="E37" t="inlineStr">
        <is>
          <t>d35aba</t>
        </is>
      </c>
      <c r="F37" t="inlineStr">
        <is>
          <t>calstatela.edu_studenthealthcenter</t>
        </is>
      </c>
      <c r="G37" t="inlineStr">
        <is>
          <t>CSULA-content-manager_eop</t>
        </is>
      </c>
      <c r="H37" t="n">
        <v>1</v>
      </c>
      <c r="I37" t="n">
        <v>4</v>
      </c>
      <c r="J37" t="inlineStr">
        <is>
          <t>No</t>
        </is>
      </c>
      <c r="K37" t="n">
        <v>1</v>
      </c>
      <c r="L37" t="inlineStr">
        <is>
          <t>No</t>
        </is>
      </c>
      <c r="M37" t="inlineStr">
        <is>
          <t>Yes</t>
        </is>
      </c>
      <c r="N37" t="n">
        <v>1</v>
      </c>
      <c r="O37" t="inlineStr">
        <is>
          <t>No</t>
        </is>
      </c>
      <c r="P37" t="n">
        <v>0</v>
      </c>
      <c r="R37" t="n">
        <v>0</v>
      </c>
      <c r="S37" t="n">
        <v>0</v>
      </c>
      <c r="T37" t="n">
        <v>4</v>
      </c>
      <c r="U37" t="inlineStr">
        <is>
          <t>Yes</t>
        </is>
      </c>
      <c r="V37" t="inlineStr">
        <is>
          <t>No</t>
        </is>
      </c>
    </row>
    <row r="38">
      <c r="A38" t="inlineStr">
        <is>
          <t>2025 Annual Security Report</t>
        </is>
      </c>
      <c r="B38" s="1">
        <f>HYPERLINK("https://www.calstatela.edu/sites/default/files/2025%20Annual%20Security%20Report.pdf", "https://www.calstatela.edu/sites/default/files/2025%20Annual%20Security%20Report.pdf")</f>
        <v/>
      </c>
      <c r="C38" s="1">
        <f>HYPERLINK("https://www.calstatela.edu/studenthealthcenter/services", "https://www.calstatela.edu/studenthealthcenter/services")</f>
        <v/>
      </c>
      <c r="D38" t="inlineStr">
        <is>
          <t>2026-02-05 20:38:16</t>
        </is>
      </c>
      <c r="E38" t="inlineStr">
        <is>
          <t>d35aba</t>
        </is>
      </c>
      <c r="F38" t="inlineStr">
        <is>
          <t>calstatela.edu_studenthealthcenter</t>
        </is>
      </c>
      <c r="G38" t="inlineStr">
        <is>
          <t>CSULA-content-manager_eop</t>
        </is>
      </c>
      <c r="H38" t="n">
        <v>1</v>
      </c>
      <c r="I38" t="n">
        <v>4</v>
      </c>
      <c r="J38" t="inlineStr">
        <is>
          <t>No</t>
        </is>
      </c>
      <c r="K38" t="n">
        <v>1</v>
      </c>
      <c r="L38" t="inlineStr">
        <is>
          <t>No</t>
        </is>
      </c>
      <c r="M38" t="inlineStr">
        <is>
          <t>Yes</t>
        </is>
      </c>
      <c r="N38" t="n">
        <v>1</v>
      </c>
      <c r="O38" t="inlineStr">
        <is>
          <t>No</t>
        </is>
      </c>
      <c r="P38" t="n">
        <v>0</v>
      </c>
      <c r="R38" t="n">
        <v>0</v>
      </c>
      <c r="S38" t="n">
        <v>0</v>
      </c>
      <c r="T38" t="n">
        <v>4</v>
      </c>
      <c r="U38" t="inlineStr">
        <is>
          <t>Yes</t>
        </is>
      </c>
      <c r="V38" t="inlineStr">
        <is>
          <t>No</t>
        </is>
      </c>
    </row>
    <row r="39">
      <c r="A39" t="inlineStr">
        <is>
          <t>2025 Annual Security Report</t>
        </is>
      </c>
      <c r="B39" s="1">
        <f>HYPERLINK("https://www.calstatela.edu/sites/default/files/2025%20Annual%20Security%20Report.pdf", "https://www.calstatela.edu/sites/default/files/2025%20Annual%20Security%20Report.pdf")</f>
        <v/>
      </c>
      <c r="C39" s="1">
        <f>HYPERLINK("https://www.calstatela.edu/studenthealthcenter/student-health-ambassadors-cal-state-la", "https://www.calstatela.edu/studenthealthcenter/student-health-ambassadors-cal-state-la")</f>
        <v/>
      </c>
      <c r="D39" t="inlineStr">
        <is>
          <t>2026-02-05 20:38:22</t>
        </is>
      </c>
      <c r="E39" t="inlineStr">
        <is>
          <t>d35aba</t>
        </is>
      </c>
      <c r="F39" t="inlineStr">
        <is>
          <t>calstatela.edu_studenthealthcenter</t>
        </is>
      </c>
      <c r="G39" t="inlineStr">
        <is>
          <t>CSULA-content-manager_eop</t>
        </is>
      </c>
      <c r="H39" t="n">
        <v>1</v>
      </c>
      <c r="I39" t="n">
        <v>4</v>
      </c>
      <c r="J39" t="inlineStr">
        <is>
          <t>No</t>
        </is>
      </c>
      <c r="K39" t="n">
        <v>1</v>
      </c>
      <c r="L39" t="inlineStr">
        <is>
          <t>No</t>
        </is>
      </c>
      <c r="M39" t="inlineStr">
        <is>
          <t>Yes</t>
        </is>
      </c>
      <c r="N39" t="n">
        <v>1</v>
      </c>
      <c r="O39" t="inlineStr">
        <is>
          <t>No</t>
        </is>
      </c>
      <c r="P39" t="n">
        <v>0</v>
      </c>
      <c r="R39" t="n">
        <v>0</v>
      </c>
      <c r="S39" t="n">
        <v>0</v>
      </c>
      <c r="T39" t="n">
        <v>4</v>
      </c>
      <c r="U39" t="inlineStr">
        <is>
          <t>Yes</t>
        </is>
      </c>
      <c r="V39" t="inlineStr">
        <is>
          <t>No</t>
        </is>
      </c>
    </row>
    <row r="40">
      <c r="A40" t="inlineStr">
        <is>
          <t>2026 Campus Safety Plan</t>
        </is>
      </c>
      <c r="B40" s="1">
        <f>HYPERLINK("https://www.calstatela.edu/sites/default/files/2026%20Campus%20Safety%20Plan.pdf", "https://www.calstatela.edu/sites/default/files/2026%20Campus%20Safety%20Plan.pdf")</f>
        <v/>
      </c>
      <c r="C40" s="1">
        <f>HYPERLINK("https://www.calstatela.edu/studenthealthcenter", "https://www.calstatela.edu/studenthealthcenter")</f>
        <v/>
      </c>
      <c r="D40" t="inlineStr">
        <is>
          <t>2026-02-05 20:38:10</t>
        </is>
      </c>
      <c r="E40" t="inlineStr">
        <is>
          <t>69529a</t>
        </is>
      </c>
      <c r="F40" t="inlineStr">
        <is>
          <t>calstatela.edu_studenthealthcenter</t>
        </is>
      </c>
      <c r="G40" t="inlineStr">
        <is>
          <t>CSULA-content-manager_eop</t>
        </is>
      </c>
      <c r="H40" t="n">
        <v>1</v>
      </c>
      <c r="I40" t="n">
        <v>2</v>
      </c>
      <c r="J40" t="inlineStr">
        <is>
          <t>No</t>
        </is>
      </c>
      <c r="K40" t="n">
        <v>1</v>
      </c>
      <c r="L40" t="inlineStr">
        <is>
          <t>No</t>
        </is>
      </c>
      <c r="M40" t="inlineStr">
        <is>
          <t>Yes</t>
        </is>
      </c>
      <c r="N40" t="n">
        <v>1</v>
      </c>
      <c r="O40" t="inlineStr">
        <is>
          <t>No</t>
        </is>
      </c>
      <c r="P40" t="n">
        <v>0</v>
      </c>
      <c r="R40" t="n">
        <v>0</v>
      </c>
      <c r="S40" t="n">
        <v>0</v>
      </c>
      <c r="T40" t="n">
        <v>2</v>
      </c>
      <c r="U40" t="inlineStr">
        <is>
          <t>Yes</t>
        </is>
      </c>
      <c r="V40" t="inlineStr">
        <is>
          <t>No</t>
        </is>
      </c>
    </row>
    <row r="41">
      <c r="A41" t="inlineStr">
        <is>
          <t>2026 Campus Safety Plan</t>
        </is>
      </c>
      <c r="B41" s="1">
        <f>HYPERLINK("https://www.calstatela.edu/sites/default/files/2026%20Campus%20Safety%20Plan.pdf", "https://www.calstatela.edu/sites/default/files/2026%20Campus%20Safety%20Plan.pdf")</f>
        <v/>
      </c>
      <c r="C41" s="1">
        <f>HYPERLINK("https://www.calstatela.edu/studenthealthcenter/after-hours-and-emergencies-care", "https://www.calstatela.edu/studenthealthcenter/after-hours-and-emergencies-care")</f>
        <v/>
      </c>
      <c r="D41" t="inlineStr">
        <is>
          <t>2026-02-05 20:38:16</t>
        </is>
      </c>
      <c r="E41" t="inlineStr">
        <is>
          <t>69529a</t>
        </is>
      </c>
      <c r="F41" t="inlineStr">
        <is>
          <t>calstatela.edu_studenthealthcenter</t>
        </is>
      </c>
      <c r="G41" t="inlineStr">
        <is>
          <t>CSULA-content-manager_eop</t>
        </is>
      </c>
      <c r="H41" t="n">
        <v>1</v>
      </c>
      <c r="I41" t="n">
        <v>2</v>
      </c>
      <c r="J41" t="inlineStr">
        <is>
          <t>No</t>
        </is>
      </c>
      <c r="K41" t="n">
        <v>1</v>
      </c>
      <c r="L41" t="inlineStr">
        <is>
          <t>No</t>
        </is>
      </c>
      <c r="M41" t="inlineStr">
        <is>
          <t>Yes</t>
        </is>
      </c>
      <c r="N41" t="n">
        <v>1</v>
      </c>
      <c r="O41" t="inlineStr">
        <is>
          <t>No</t>
        </is>
      </c>
      <c r="P41" t="n">
        <v>0</v>
      </c>
      <c r="R41" t="n">
        <v>0</v>
      </c>
      <c r="S41" t="n">
        <v>0</v>
      </c>
      <c r="T41" t="n">
        <v>2</v>
      </c>
      <c r="U41" t="inlineStr">
        <is>
          <t>Yes</t>
        </is>
      </c>
      <c r="V41" t="inlineStr">
        <is>
          <t>No</t>
        </is>
      </c>
    </row>
    <row r="42">
      <c r="A42" t="inlineStr">
        <is>
          <t>2026 Campus Safety Plan</t>
        </is>
      </c>
      <c r="B42" s="1">
        <f>HYPERLINK("https://www.calstatela.edu/sites/default/files/2026%20Campus%20Safety%20Plan.pdf", "https://www.calstatela.edu/sites/default/files/2026%20Campus%20Safety%20Plan.pdf")</f>
        <v/>
      </c>
      <c r="C42" s="1">
        <f>HYPERLINK("https://www.calstatela.edu/studenthealthcenter/alcohol-and-you", "https://www.calstatela.edu/studenthealthcenter/alcohol-and-you")</f>
        <v/>
      </c>
      <c r="D42" t="inlineStr">
        <is>
          <t>2026-02-05 20:38:53</t>
        </is>
      </c>
      <c r="E42" t="inlineStr">
        <is>
          <t>69529a</t>
        </is>
      </c>
      <c r="F42" t="inlineStr">
        <is>
          <t>calstatela.edu_studenthealthcenter</t>
        </is>
      </c>
      <c r="G42" t="inlineStr">
        <is>
          <t>CSULA-content-manager_eop</t>
        </is>
      </c>
      <c r="H42" t="n">
        <v>1</v>
      </c>
      <c r="I42" t="n">
        <v>2</v>
      </c>
      <c r="J42" t="inlineStr">
        <is>
          <t>No</t>
        </is>
      </c>
      <c r="K42" t="n">
        <v>1</v>
      </c>
      <c r="L42" t="inlineStr">
        <is>
          <t>No</t>
        </is>
      </c>
      <c r="M42" t="inlineStr">
        <is>
          <t>Yes</t>
        </is>
      </c>
      <c r="N42" t="n">
        <v>1</v>
      </c>
      <c r="O42" t="inlineStr">
        <is>
          <t>No</t>
        </is>
      </c>
      <c r="P42" t="n">
        <v>0</v>
      </c>
      <c r="R42" t="n">
        <v>0</v>
      </c>
      <c r="S42" t="n">
        <v>0</v>
      </c>
      <c r="T42" t="n">
        <v>2</v>
      </c>
      <c r="U42" t="inlineStr">
        <is>
          <t>Yes</t>
        </is>
      </c>
      <c r="V42" t="inlineStr">
        <is>
          <t>No</t>
        </is>
      </c>
    </row>
    <row r="43">
      <c r="A43" t="inlineStr">
        <is>
          <t>2026 Campus Safety Plan</t>
        </is>
      </c>
      <c r="B43" s="1">
        <f>HYPERLINK("https://www.calstatela.edu/sites/default/files/2026%20Campus%20Safety%20Plan.pdf", "https://www.calstatela.edu/sites/default/files/2026%20Campus%20Safety%20Plan.pdf")</f>
        <v/>
      </c>
      <c r="C43" s="1">
        <f>HYPERLINK("https://www.calstatela.edu/studenthealthcenter/cal-state-la-cannabis-smoke-vape-and-tobacco-free", "https://www.calstatela.edu/studenthealthcenter/cal-state-la-cannabis-smoke-vape-and-tobacco-free")</f>
        <v/>
      </c>
      <c r="D43" t="inlineStr">
        <is>
          <t>2026-02-05 20:38:53</t>
        </is>
      </c>
      <c r="E43" t="inlineStr">
        <is>
          <t>69529a</t>
        </is>
      </c>
      <c r="F43" t="inlineStr">
        <is>
          <t>calstatela.edu_studenthealthcenter</t>
        </is>
      </c>
      <c r="G43" t="inlineStr">
        <is>
          <t>CSULA-content-manager_eop</t>
        </is>
      </c>
      <c r="H43" t="n">
        <v>1</v>
      </c>
      <c r="I43" t="n">
        <v>2</v>
      </c>
      <c r="J43" t="inlineStr">
        <is>
          <t>No</t>
        </is>
      </c>
      <c r="K43" t="n">
        <v>1</v>
      </c>
      <c r="L43" t="inlineStr">
        <is>
          <t>No</t>
        </is>
      </c>
      <c r="M43" t="inlineStr">
        <is>
          <t>Yes</t>
        </is>
      </c>
      <c r="N43" t="n">
        <v>1</v>
      </c>
      <c r="O43" t="inlineStr">
        <is>
          <t>No</t>
        </is>
      </c>
      <c r="P43" t="n">
        <v>0</v>
      </c>
      <c r="R43" t="n">
        <v>0</v>
      </c>
      <c r="S43" t="n">
        <v>0</v>
      </c>
      <c r="T43" t="n">
        <v>2</v>
      </c>
      <c r="U43" t="inlineStr">
        <is>
          <t>Yes</t>
        </is>
      </c>
      <c r="V43" t="inlineStr">
        <is>
          <t>No</t>
        </is>
      </c>
    </row>
    <row r="44">
      <c r="A44" t="inlineStr">
        <is>
          <t>2026 Campus Safety Plan</t>
        </is>
      </c>
      <c r="B44" s="1">
        <f>HYPERLINK("https://www.calstatela.edu/sites/default/files/2026%20Campus%20Safety%20Plan.pdf", "https://www.calstatela.edu/sites/default/files/2026%20Campus%20Safety%20Plan.pdf")</f>
        <v/>
      </c>
      <c r="C44" s="1">
        <f>HYPERLINK("https://www.calstatela.edu/studenthealthcenter/caps", "https://www.calstatela.edu/studenthealthcenter/caps")</f>
        <v/>
      </c>
      <c r="D44" t="inlineStr">
        <is>
          <t>2026-02-05 20:39:02</t>
        </is>
      </c>
      <c r="E44" t="inlineStr">
        <is>
          <t>69529a</t>
        </is>
      </c>
      <c r="F44" t="inlineStr">
        <is>
          <t>calstatela.edu_studenthealthcenter</t>
        </is>
      </c>
      <c r="G44" t="inlineStr">
        <is>
          <t>CSULA-content-manager_eop</t>
        </is>
      </c>
      <c r="H44" t="n">
        <v>1</v>
      </c>
      <c r="I44" t="n">
        <v>2</v>
      </c>
      <c r="J44" t="inlineStr">
        <is>
          <t>No</t>
        </is>
      </c>
      <c r="K44" t="n">
        <v>1</v>
      </c>
      <c r="L44" t="inlineStr">
        <is>
          <t>No</t>
        </is>
      </c>
      <c r="M44" t="inlineStr">
        <is>
          <t>Yes</t>
        </is>
      </c>
      <c r="N44" t="n">
        <v>1</v>
      </c>
      <c r="O44" t="inlineStr">
        <is>
          <t>No</t>
        </is>
      </c>
      <c r="P44" t="n">
        <v>0</v>
      </c>
      <c r="R44" t="n">
        <v>0</v>
      </c>
      <c r="S44" t="n">
        <v>0</v>
      </c>
      <c r="T44" t="n">
        <v>2</v>
      </c>
      <c r="U44" t="inlineStr">
        <is>
          <t>Yes</t>
        </is>
      </c>
      <c r="V44" t="inlineStr">
        <is>
          <t>No</t>
        </is>
      </c>
    </row>
    <row r="45">
      <c r="A45" t="inlineStr">
        <is>
          <t>2026 Campus Safety Plan</t>
        </is>
      </c>
      <c r="B45" s="1">
        <f>HYPERLINK("https://www.calstatela.edu/sites/default/files/2026%20Campus%20Safety%20Plan.pdf", "https://www.calstatela.edu/sites/default/files/2026%20Campus%20Safety%20Plan.pdf")</f>
        <v/>
      </c>
      <c r="C45" s="1">
        <f>HYPERLINK("https://www.calstatela.edu/studenthealthcenter/caps/caps-services", "https://www.calstatela.edu/studenthealthcenter/caps/caps-services")</f>
        <v/>
      </c>
      <c r="D45" t="inlineStr">
        <is>
          <t>2026-02-05 20:39:09</t>
        </is>
      </c>
      <c r="E45" t="inlineStr">
        <is>
          <t>69529a</t>
        </is>
      </c>
      <c r="F45" t="inlineStr">
        <is>
          <t>calstatela.edu_studenthealthcenter</t>
        </is>
      </c>
      <c r="G45" t="inlineStr">
        <is>
          <t>CSULA-content-manager_eop</t>
        </is>
      </c>
      <c r="H45" t="n">
        <v>1</v>
      </c>
      <c r="I45" t="n">
        <v>2</v>
      </c>
      <c r="J45" t="inlineStr">
        <is>
          <t>No</t>
        </is>
      </c>
      <c r="K45" t="n">
        <v>1</v>
      </c>
      <c r="L45" t="inlineStr">
        <is>
          <t>No</t>
        </is>
      </c>
      <c r="M45" t="inlineStr">
        <is>
          <t>Yes</t>
        </is>
      </c>
      <c r="N45" t="n">
        <v>1</v>
      </c>
      <c r="O45" t="inlineStr">
        <is>
          <t>No</t>
        </is>
      </c>
      <c r="P45" t="n">
        <v>0</v>
      </c>
      <c r="R45" t="n">
        <v>0</v>
      </c>
      <c r="S45" t="n">
        <v>0</v>
      </c>
      <c r="T45" t="n">
        <v>2</v>
      </c>
      <c r="U45" t="inlineStr">
        <is>
          <t>Yes</t>
        </is>
      </c>
      <c r="V45" t="inlineStr">
        <is>
          <t>No</t>
        </is>
      </c>
    </row>
    <row r="46">
      <c r="A46" t="inlineStr">
        <is>
          <t>2026 Campus Safety Plan</t>
        </is>
      </c>
      <c r="B46" s="1">
        <f>HYPERLINK("https://www.calstatela.edu/sites/default/files/2026%20Campus%20Safety%20Plan.pdf", "https://www.calstatela.edu/sites/default/files/2026%20Campus%20Safety%20Plan.pdf")</f>
        <v/>
      </c>
      <c r="C46" s="1">
        <f>HYPERLINK("https://www.calstatela.edu/studenthealthcenter/caps/concerned-about-student", "https://www.calstatela.edu/studenthealthcenter/caps/concerned-about-student")</f>
        <v/>
      </c>
      <c r="D46" t="inlineStr">
        <is>
          <t>2026-02-05 20:39:09</t>
        </is>
      </c>
      <c r="E46" t="inlineStr">
        <is>
          <t>69529a</t>
        </is>
      </c>
      <c r="F46" t="inlineStr">
        <is>
          <t>calstatela.edu_studenthealthcenter</t>
        </is>
      </c>
      <c r="G46" t="inlineStr">
        <is>
          <t>CSULA-content-manager_eop</t>
        </is>
      </c>
      <c r="H46" t="n">
        <v>1</v>
      </c>
      <c r="I46" t="n">
        <v>2</v>
      </c>
      <c r="J46" t="inlineStr">
        <is>
          <t>No</t>
        </is>
      </c>
      <c r="K46" t="n">
        <v>1</v>
      </c>
      <c r="L46" t="inlineStr">
        <is>
          <t>No</t>
        </is>
      </c>
      <c r="M46" t="inlineStr">
        <is>
          <t>Yes</t>
        </is>
      </c>
      <c r="N46" t="n">
        <v>1</v>
      </c>
      <c r="O46" t="inlineStr">
        <is>
          <t>No</t>
        </is>
      </c>
      <c r="P46" t="n">
        <v>0</v>
      </c>
      <c r="R46" t="n">
        <v>0</v>
      </c>
      <c r="S46" t="n">
        <v>0</v>
      </c>
      <c r="T46" t="n">
        <v>2</v>
      </c>
      <c r="U46" t="inlineStr">
        <is>
          <t>Yes</t>
        </is>
      </c>
      <c r="V46" t="inlineStr">
        <is>
          <t>No</t>
        </is>
      </c>
    </row>
    <row r="47">
      <c r="A47" t="inlineStr">
        <is>
          <t>2026 Campus Safety Plan</t>
        </is>
      </c>
      <c r="B47" s="1">
        <f>HYPERLINK("https://www.calstatela.edu/sites/default/files/2026%20Campus%20Safety%20Plan.pdf", "https://www.calstatela.edu/sites/default/files/2026%20Campus%20Safety%20Plan.pdf")</f>
        <v/>
      </c>
      <c r="C47" s="1">
        <f>HYPERLINK("https://www.calstatela.edu/studenthealthcenter/caps/eligibility-caps-services", "https://www.calstatela.edu/studenthealthcenter/caps/eligibility-caps-services")</f>
        <v/>
      </c>
      <c r="D47" t="inlineStr">
        <is>
          <t>2026-02-05 20:39:09</t>
        </is>
      </c>
      <c r="E47" t="inlineStr">
        <is>
          <t>69529a</t>
        </is>
      </c>
      <c r="F47" t="inlineStr">
        <is>
          <t>calstatela.edu_studenthealthcenter</t>
        </is>
      </c>
      <c r="G47" t="inlineStr">
        <is>
          <t>CSULA-content-manager_eop</t>
        </is>
      </c>
      <c r="H47" t="n">
        <v>1</v>
      </c>
      <c r="I47" t="n">
        <v>2</v>
      </c>
      <c r="J47" t="inlineStr">
        <is>
          <t>No</t>
        </is>
      </c>
      <c r="K47" t="n">
        <v>1</v>
      </c>
      <c r="L47" t="inlineStr">
        <is>
          <t>No</t>
        </is>
      </c>
      <c r="M47" t="inlineStr">
        <is>
          <t>Yes</t>
        </is>
      </c>
      <c r="N47" t="n">
        <v>1</v>
      </c>
      <c r="O47" t="inlineStr">
        <is>
          <t>No</t>
        </is>
      </c>
      <c r="P47" t="n">
        <v>0</v>
      </c>
      <c r="R47" t="n">
        <v>0</v>
      </c>
      <c r="S47" t="n">
        <v>0</v>
      </c>
      <c r="T47" t="n">
        <v>2</v>
      </c>
      <c r="U47" t="inlineStr">
        <is>
          <t>Yes</t>
        </is>
      </c>
      <c r="V47" t="inlineStr">
        <is>
          <t>No</t>
        </is>
      </c>
    </row>
    <row r="48">
      <c r="A48" t="inlineStr">
        <is>
          <t>2026 Campus Safety Plan</t>
        </is>
      </c>
      <c r="B48" s="1">
        <f>HYPERLINK("https://www.calstatela.edu/sites/default/files/2026%20Campus%20Safety%20Plan.pdf", "https://www.calstatela.edu/sites/default/files/2026%20Campus%20Safety%20Plan.pdf")</f>
        <v/>
      </c>
      <c r="C48" s="1">
        <f>HYPERLINK("https://www.calstatela.edu/studenthealthcenter/caps/emergencies-after-hours", "https://www.calstatela.edu/studenthealthcenter/caps/emergencies-after-hours")</f>
        <v/>
      </c>
      <c r="D48" t="inlineStr">
        <is>
          <t>2026-02-05 20:39:09</t>
        </is>
      </c>
      <c r="E48" t="inlineStr">
        <is>
          <t>69529a</t>
        </is>
      </c>
      <c r="F48" t="inlineStr">
        <is>
          <t>calstatela.edu_studenthealthcenter</t>
        </is>
      </c>
      <c r="G48" t="inlineStr">
        <is>
          <t>CSULA-content-manager_eop</t>
        </is>
      </c>
      <c r="H48" t="n">
        <v>1</v>
      </c>
      <c r="I48" t="n">
        <v>2</v>
      </c>
      <c r="J48" t="inlineStr">
        <is>
          <t>No</t>
        </is>
      </c>
      <c r="K48" t="n">
        <v>1</v>
      </c>
      <c r="L48" t="inlineStr">
        <is>
          <t>No</t>
        </is>
      </c>
      <c r="M48" t="inlineStr">
        <is>
          <t>Yes</t>
        </is>
      </c>
      <c r="N48" t="n">
        <v>1</v>
      </c>
      <c r="O48" t="inlineStr">
        <is>
          <t>No</t>
        </is>
      </c>
      <c r="P48" t="n">
        <v>0</v>
      </c>
      <c r="R48" t="n">
        <v>0</v>
      </c>
      <c r="S48" t="n">
        <v>0</v>
      </c>
      <c r="T48" t="n">
        <v>2</v>
      </c>
      <c r="U48" t="inlineStr">
        <is>
          <t>Yes</t>
        </is>
      </c>
      <c r="V48" t="inlineStr">
        <is>
          <t>No</t>
        </is>
      </c>
    </row>
    <row r="49">
      <c r="A49" t="inlineStr">
        <is>
          <t>2026 Campus Safety Plan</t>
        </is>
      </c>
      <c r="B49" s="1">
        <f>HYPERLINK("https://www.calstatela.edu/sites/default/files/2026%20Campus%20Safety%20Plan.pdf", "https://www.calstatela.edu/sites/default/files/2026%20Campus%20Safety%20Plan.pdf")</f>
        <v/>
      </c>
      <c r="C49" s="1">
        <f>HYPERLINK("https://www.calstatela.edu/studenthealthcenter/caps/make-appointment", "https://www.calstatela.edu/studenthealthcenter/caps/make-appointment")</f>
        <v/>
      </c>
      <c r="D49" t="inlineStr">
        <is>
          <t>2026-02-05 20:39:09</t>
        </is>
      </c>
      <c r="E49" t="inlineStr">
        <is>
          <t>69529a</t>
        </is>
      </c>
      <c r="F49" t="inlineStr">
        <is>
          <t>calstatela.edu_studenthealthcenter</t>
        </is>
      </c>
      <c r="G49" t="inlineStr">
        <is>
          <t>CSULA-content-manager_eop</t>
        </is>
      </c>
      <c r="H49" t="n">
        <v>1</v>
      </c>
      <c r="I49" t="n">
        <v>2</v>
      </c>
      <c r="J49" t="inlineStr">
        <is>
          <t>No</t>
        </is>
      </c>
      <c r="K49" t="n">
        <v>1</v>
      </c>
      <c r="L49" t="inlineStr">
        <is>
          <t>No</t>
        </is>
      </c>
      <c r="M49" t="inlineStr">
        <is>
          <t>Yes</t>
        </is>
      </c>
      <c r="N49" t="n">
        <v>1</v>
      </c>
      <c r="O49" t="inlineStr">
        <is>
          <t>No</t>
        </is>
      </c>
      <c r="P49" t="n">
        <v>0</v>
      </c>
      <c r="R49" t="n">
        <v>0</v>
      </c>
      <c r="S49" t="n">
        <v>0</v>
      </c>
      <c r="T49" t="n">
        <v>2</v>
      </c>
      <c r="U49" t="inlineStr">
        <is>
          <t>Yes</t>
        </is>
      </c>
      <c r="V49" t="inlineStr">
        <is>
          <t>No</t>
        </is>
      </c>
    </row>
    <row r="50">
      <c r="A50" t="inlineStr">
        <is>
          <t>2026 Campus Safety Plan</t>
        </is>
      </c>
      <c r="B50" s="1">
        <f>HYPERLINK("https://www.calstatela.edu/sites/default/files/2026%20Campus%20Safety%20Plan.pdf", "https://www.calstatela.edu/sites/default/files/2026%20Campus%20Safety%20Plan.pdf")</f>
        <v/>
      </c>
      <c r="C50" s="1">
        <f>HYPERLINK("https://www.calstatela.edu/studenthealthcenter/caps/meet-team", "https://www.calstatela.edu/studenthealthcenter/caps/meet-team")</f>
        <v/>
      </c>
      <c r="D50" t="inlineStr">
        <is>
          <t>2026-02-05 20:39:09</t>
        </is>
      </c>
      <c r="E50" t="inlineStr">
        <is>
          <t>69529a</t>
        </is>
      </c>
      <c r="F50" t="inlineStr">
        <is>
          <t>calstatela.edu_studenthealthcenter</t>
        </is>
      </c>
      <c r="G50" t="inlineStr">
        <is>
          <t>CSULA-content-manager_eop</t>
        </is>
      </c>
      <c r="H50" t="n">
        <v>1</v>
      </c>
      <c r="I50" t="n">
        <v>2</v>
      </c>
      <c r="J50" t="inlineStr">
        <is>
          <t>No</t>
        </is>
      </c>
      <c r="K50" t="n">
        <v>1</v>
      </c>
      <c r="L50" t="inlineStr">
        <is>
          <t>No</t>
        </is>
      </c>
      <c r="M50" t="inlineStr">
        <is>
          <t>Yes</t>
        </is>
      </c>
      <c r="N50" t="n">
        <v>1</v>
      </c>
      <c r="O50" t="inlineStr">
        <is>
          <t>No</t>
        </is>
      </c>
      <c r="P50" t="n">
        <v>0</v>
      </c>
      <c r="R50" t="n">
        <v>0</v>
      </c>
      <c r="S50" t="n">
        <v>0</v>
      </c>
      <c r="T50" t="n">
        <v>2</v>
      </c>
      <c r="U50" t="inlineStr">
        <is>
          <t>Yes</t>
        </is>
      </c>
      <c r="V50" t="inlineStr">
        <is>
          <t>No</t>
        </is>
      </c>
    </row>
    <row r="51">
      <c r="A51" t="inlineStr">
        <is>
          <t>2026 Campus Safety Plan</t>
        </is>
      </c>
      <c r="B51" s="1">
        <f>HYPERLINK("https://www.calstatela.edu/sites/default/files/2026%20Campus%20Safety%20Plan.pdf", "https://www.calstatela.edu/sites/default/files/2026%20Campus%20Safety%20Plan.pdf")</f>
        <v/>
      </c>
      <c r="C51" s="1">
        <f>HYPERLINK("https://www.calstatela.edu/studenthealthcenter/caps/support-groups", "https://www.calstatela.edu/studenthealthcenter/caps/support-groups")</f>
        <v/>
      </c>
      <c r="D51" t="inlineStr">
        <is>
          <t>2026-02-05 20:39:09</t>
        </is>
      </c>
      <c r="E51" t="inlineStr">
        <is>
          <t>69529a</t>
        </is>
      </c>
      <c r="F51" t="inlineStr">
        <is>
          <t>calstatela.edu_studenthealthcenter</t>
        </is>
      </c>
      <c r="G51" t="inlineStr">
        <is>
          <t>CSULA-content-manager_eop</t>
        </is>
      </c>
      <c r="H51" t="n">
        <v>1</v>
      </c>
      <c r="I51" t="n">
        <v>2</v>
      </c>
      <c r="J51" t="inlineStr">
        <is>
          <t>No</t>
        </is>
      </c>
      <c r="K51" t="n">
        <v>1</v>
      </c>
      <c r="L51" t="inlineStr">
        <is>
          <t>No</t>
        </is>
      </c>
      <c r="M51" t="inlineStr">
        <is>
          <t>Yes</t>
        </is>
      </c>
      <c r="N51" t="n">
        <v>1</v>
      </c>
      <c r="O51" t="inlineStr">
        <is>
          <t>No</t>
        </is>
      </c>
      <c r="P51" t="n">
        <v>0</v>
      </c>
      <c r="R51" t="n">
        <v>0</v>
      </c>
      <c r="S51" t="n">
        <v>0</v>
      </c>
      <c r="T51" t="n">
        <v>2</v>
      </c>
      <c r="U51" t="inlineStr">
        <is>
          <t>Yes</t>
        </is>
      </c>
      <c r="V51" t="inlineStr">
        <is>
          <t>No</t>
        </is>
      </c>
    </row>
    <row r="52">
      <c r="A52" t="inlineStr">
        <is>
          <t>2026 Campus Safety Plan</t>
        </is>
      </c>
      <c r="B52" s="1">
        <f>HYPERLINK("https://www.calstatela.edu/sites/default/files/2026%20Campus%20Safety%20Plan.pdf", "https://www.calstatela.edu/sites/default/files/2026%20Campus%20Safety%20Plan.pdf")</f>
        <v/>
      </c>
      <c r="C52" s="1">
        <f>HYPERLINK("https://www.calstatela.edu/studenthealthcenter/caps/when-seek-counseling", "https://www.calstatela.edu/studenthealthcenter/caps/when-seek-counseling")</f>
        <v/>
      </c>
      <c r="D52" t="inlineStr">
        <is>
          <t>2026-02-05 20:39:09</t>
        </is>
      </c>
      <c r="E52" t="inlineStr">
        <is>
          <t>69529a</t>
        </is>
      </c>
      <c r="F52" t="inlineStr">
        <is>
          <t>calstatela.edu_studenthealthcenter</t>
        </is>
      </c>
      <c r="G52" t="inlineStr">
        <is>
          <t>CSULA-content-manager_eop</t>
        </is>
      </c>
      <c r="H52" t="n">
        <v>1</v>
      </c>
      <c r="I52" t="n">
        <v>2</v>
      </c>
      <c r="J52" t="inlineStr">
        <is>
          <t>No</t>
        </is>
      </c>
      <c r="K52" t="n">
        <v>1</v>
      </c>
      <c r="L52" t="inlineStr">
        <is>
          <t>No</t>
        </is>
      </c>
      <c r="M52" t="inlineStr">
        <is>
          <t>Yes</t>
        </is>
      </c>
      <c r="N52" t="n">
        <v>1</v>
      </c>
      <c r="O52" t="inlineStr">
        <is>
          <t>No</t>
        </is>
      </c>
      <c r="P52" t="n">
        <v>0</v>
      </c>
      <c r="R52" t="n">
        <v>0</v>
      </c>
      <c r="S52" t="n">
        <v>0</v>
      </c>
      <c r="T52" t="n">
        <v>2</v>
      </c>
      <c r="U52" t="inlineStr">
        <is>
          <t>Yes</t>
        </is>
      </c>
      <c r="V52" t="inlineStr">
        <is>
          <t>No</t>
        </is>
      </c>
    </row>
    <row r="53">
      <c r="A53" t="inlineStr">
        <is>
          <t>2026 Campus Safety Plan</t>
        </is>
      </c>
      <c r="B53" s="1">
        <f>HYPERLINK("https://www.calstatela.edu/sites/default/files/2026%20Campus%20Safety%20Plan.pdf", "https://www.calstatela.edu/sites/default/files/2026%20Campus%20Safety%20Plan.pdf")</f>
        <v/>
      </c>
      <c r="C53" s="1">
        <f>HYPERLINK("https://www.calstatela.edu/studenthealthcenter/eligibility", "https://www.calstatela.edu/studenthealthcenter/eligibility")</f>
        <v/>
      </c>
      <c r="D53" t="inlineStr">
        <is>
          <t>2026-02-05 20:38:16</t>
        </is>
      </c>
      <c r="E53" t="inlineStr">
        <is>
          <t>69529a</t>
        </is>
      </c>
      <c r="F53" t="inlineStr">
        <is>
          <t>calstatela.edu_studenthealthcenter</t>
        </is>
      </c>
      <c r="G53" t="inlineStr">
        <is>
          <t>CSULA-content-manager_eop</t>
        </is>
      </c>
      <c r="H53" t="n">
        <v>1</v>
      </c>
      <c r="I53" t="n">
        <v>2</v>
      </c>
      <c r="J53" t="inlineStr">
        <is>
          <t>No</t>
        </is>
      </c>
      <c r="K53" t="n">
        <v>1</v>
      </c>
      <c r="L53" t="inlineStr">
        <is>
          <t>No</t>
        </is>
      </c>
      <c r="M53" t="inlineStr">
        <is>
          <t>Yes</t>
        </is>
      </c>
      <c r="N53" t="n">
        <v>1</v>
      </c>
      <c r="O53" t="inlineStr">
        <is>
          <t>No</t>
        </is>
      </c>
      <c r="P53" t="n">
        <v>0</v>
      </c>
      <c r="R53" t="n">
        <v>0</v>
      </c>
      <c r="S53" t="n">
        <v>0</v>
      </c>
      <c r="T53" t="n">
        <v>2</v>
      </c>
      <c r="U53" t="inlineStr">
        <is>
          <t>Yes</t>
        </is>
      </c>
      <c r="V53" t="inlineStr">
        <is>
          <t>No</t>
        </is>
      </c>
    </row>
    <row r="54">
      <c r="A54" t="inlineStr">
        <is>
          <t>2026 Campus Safety Plan</t>
        </is>
      </c>
      <c r="B54" s="1">
        <f>HYPERLINK("https://www.calstatela.edu/sites/default/files/2026%20Campus%20Safety%20Plan.pdf", "https://www.calstatela.edu/sites/default/files/2026%20Campus%20Safety%20Plan.pdf")</f>
        <v/>
      </c>
      <c r="C54" s="1">
        <f>HYPERLINK("https://www.calstatela.edu/studenthealthcenter/enrollment-immunization-and-screening-requirements", "https://www.calstatela.edu/studenthealthcenter/enrollment-immunization-and-screening-requirements")</f>
        <v/>
      </c>
      <c r="D54" t="inlineStr">
        <is>
          <t>2026-02-05 20:38:16</t>
        </is>
      </c>
      <c r="E54" t="inlineStr">
        <is>
          <t>69529a</t>
        </is>
      </c>
      <c r="F54" t="inlineStr">
        <is>
          <t>calstatela.edu_studenthealthcenter</t>
        </is>
      </c>
      <c r="G54" t="inlineStr">
        <is>
          <t>CSULA-content-manager_eop</t>
        </is>
      </c>
      <c r="H54" t="n">
        <v>1</v>
      </c>
      <c r="I54" t="n">
        <v>2</v>
      </c>
      <c r="J54" t="inlineStr">
        <is>
          <t>No</t>
        </is>
      </c>
      <c r="K54" t="n">
        <v>1</v>
      </c>
      <c r="L54" t="inlineStr">
        <is>
          <t>No</t>
        </is>
      </c>
      <c r="M54" t="inlineStr">
        <is>
          <t>Yes</t>
        </is>
      </c>
      <c r="N54" t="n">
        <v>1</v>
      </c>
      <c r="O54" t="inlineStr">
        <is>
          <t>No</t>
        </is>
      </c>
      <c r="P54" t="n">
        <v>0</v>
      </c>
      <c r="R54" t="n">
        <v>0</v>
      </c>
      <c r="S54" t="n">
        <v>0</v>
      </c>
      <c r="T54" t="n">
        <v>2</v>
      </c>
      <c r="U54" t="inlineStr">
        <is>
          <t>Yes</t>
        </is>
      </c>
      <c r="V54" t="inlineStr">
        <is>
          <t>No</t>
        </is>
      </c>
    </row>
    <row r="55">
      <c r="A55" t="inlineStr">
        <is>
          <t>2026 Campus Safety Plan</t>
        </is>
      </c>
      <c r="B55" s="1">
        <f>HYPERLINK("https://www.calstatela.edu/sites/default/files/2026%20Campus%20Safety%20Plan.pdf", "https://www.calstatela.edu/sites/default/files/2026%20Campus%20Safety%20Plan.pdf")</f>
        <v/>
      </c>
      <c r="C55" s="1">
        <f>HYPERLINK("https://www.calstatela.edu/studenthealthcenter/family-planning", "https://www.calstatela.edu/studenthealthcenter/family-planning")</f>
        <v/>
      </c>
      <c r="D55" t="inlineStr">
        <is>
          <t>2026-02-05 20:38:16</t>
        </is>
      </c>
      <c r="E55" t="inlineStr">
        <is>
          <t>69529a</t>
        </is>
      </c>
      <c r="F55" t="inlineStr">
        <is>
          <t>calstatela.edu_studenthealthcenter</t>
        </is>
      </c>
      <c r="G55" t="inlineStr">
        <is>
          <t>CSULA-content-manager_eop</t>
        </is>
      </c>
      <c r="H55" t="n">
        <v>1</v>
      </c>
      <c r="I55" t="n">
        <v>2</v>
      </c>
      <c r="J55" t="inlineStr">
        <is>
          <t>No</t>
        </is>
      </c>
      <c r="K55" t="n">
        <v>1</v>
      </c>
      <c r="L55" t="inlineStr">
        <is>
          <t>No</t>
        </is>
      </c>
      <c r="M55" t="inlineStr">
        <is>
          <t>Yes</t>
        </is>
      </c>
      <c r="N55" t="n">
        <v>1</v>
      </c>
      <c r="O55" t="inlineStr">
        <is>
          <t>No</t>
        </is>
      </c>
      <c r="P55" t="n">
        <v>0</v>
      </c>
      <c r="R55" t="n">
        <v>0</v>
      </c>
      <c r="S55" t="n">
        <v>0</v>
      </c>
      <c r="T55" t="n">
        <v>2</v>
      </c>
      <c r="U55" t="inlineStr">
        <is>
          <t>Yes</t>
        </is>
      </c>
      <c r="V55" t="inlineStr">
        <is>
          <t>No</t>
        </is>
      </c>
    </row>
    <row r="56">
      <c r="A56" t="inlineStr">
        <is>
          <t>2026 Campus Safety Plan</t>
        </is>
      </c>
      <c r="B56" s="1">
        <f>HYPERLINK("https://www.calstatela.edu/sites/default/files/2026%20Campus%20Safety%20Plan.pdf", "https://www.calstatela.edu/sites/default/files/2026%20Campus%20Safety%20Plan.pdf")</f>
        <v/>
      </c>
      <c r="C56" s="1">
        <f>HYPERLINK("https://www.calstatela.edu/studenthealthcenter/forms", "https://www.calstatela.edu/studenthealthcenter/forms")</f>
        <v/>
      </c>
      <c r="D56" t="inlineStr">
        <is>
          <t>2026-02-05 20:38:16</t>
        </is>
      </c>
      <c r="E56" t="inlineStr">
        <is>
          <t>69529a</t>
        </is>
      </c>
      <c r="F56" t="inlineStr">
        <is>
          <t>calstatela.edu_studenthealthcenter</t>
        </is>
      </c>
      <c r="G56" t="inlineStr">
        <is>
          <t>CSULA-content-manager_eop</t>
        </is>
      </c>
      <c r="H56" t="n">
        <v>1</v>
      </c>
      <c r="I56" t="n">
        <v>2</v>
      </c>
      <c r="J56" t="inlineStr">
        <is>
          <t>No</t>
        </is>
      </c>
      <c r="K56" t="n">
        <v>1</v>
      </c>
      <c r="L56" t="inlineStr">
        <is>
          <t>No</t>
        </is>
      </c>
      <c r="M56" t="inlineStr">
        <is>
          <t>Yes</t>
        </is>
      </c>
      <c r="N56" t="n">
        <v>1</v>
      </c>
      <c r="O56" t="inlineStr">
        <is>
          <t>No</t>
        </is>
      </c>
      <c r="P56" t="n">
        <v>0</v>
      </c>
      <c r="R56" t="n">
        <v>0</v>
      </c>
      <c r="S56" t="n">
        <v>0</v>
      </c>
      <c r="T56" t="n">
        <v>2</v>
      </c>
      <c r="U56" t="inlineStr">
        <is>
          <t>Yes</t>
        </is>
      </c>
      <c r="V56" t="inlineStr">
        <is>
          <t>No</t>
        </is>
      </c>
    </row>
    <row r="57">
      <c r="A57" t="inlineStr">
        <is>
          <t>2026 Campus Safety Plan</t>
        </is>
      </c>
      <c r="B57" s="1">
        <f>HYPERLINK("https://www.calstatela.edu/sites/default/files/2026%20Campus%20Safety%20Plan.pdf", "https://www.calstatela.edu/sites/default/files/2026%20Campus%20Safety%20Plan.pdf")</f>
        <v/>
      </c>
      <c r="C57" s="1">
        <f>HYPERLINK("https://www.calstatela.edu/studenthealthcenter/health-education", "https://www.calstatela.edu/studenthealthcenter/health-education")</f>
        <v/>
      </c>
      <c r="D57" t="inlineStr">
        <is>
          <t>2026-02-05 20:38:16</t>
        </is>
      </c>
      <c r="E57" t="inlineStr">
        <is>
          <t>69529a</t>
        </is>
      </c>
      <c r="F57" t="inlineStr">
        <is>
          <t>calstatela.edu_studenthealthcenter</t>
        </is>
      </c>
      <c r="G57" t="inlineStr">
        <is>
          <t>CSULA-content-manager_eop</t>
        </is>
      </c>
      <c r="H57" t="n">
        <v>1</v>
      </c>
      <c r="I57" t="n">
        <v>2</v>
      </c>
      <c r="J57" t="inlineStr">
        <is>
          <t>No</t>
        </is>
      </c>
      <c r="K57" t="n">
        <v>1</v>
      </c>
      <c r="L57" t="inlineStr">
        <is>
          <t>No</t>
        </is>
      </c>
      <c r="M57" t="inlineStr">
        <is>
          <t>Yes</t>
        </is>
      </c>
      <c r="N57" t="n">
        <v>1</v>
      </c>
      <c r="O57" t="inlineStr">
        <is>
          <t>No</t>
        </is>
      </c>
      <c r="P57" t="n">
        <v>0</v>
      </c>
      <c r="R57" t="n">
        <v>0</v>
      </c>
      <c r="S57" t="n">
        <v>0</v>
      </c>
      <c r="T57" t="n">
        <v>2</v>
      </c>
      <c r="U57" t="inlineStr">
        <is>
          <t>Yes</t>
        </is>
      </c>
      <c r="V57" t="inlineStr">
        <is>
          <t>No</t>
        </is>
      </c>
    </row>
    <row r="58">
      <c r="A58" t="inlineStr">
        <is>
          <t>2026 Campus Safety Plan</t>
        </is>
      </c>
      <c r="B58" s="1">
        <f>HYPERLINK("https://www.calstatela.edu/sites/default/files/2026%20Campus%20Safety%20Plan.pdf", "https://www.calstatela.edu/sites/default/files/2026%20Campus%20Safety%20Plan.pdf")</f>
        <v/>
      </c>
      <c r="C58" s="1">
        <f>HYPERLINK("https://www.calstatela.edu/studenthealthcenter/hotlines-and-resources", "https://www.calstatela.edu/studenthealthcenter/hotlines-and-resources")</f>
        <v/>
      </c>
      <c r="D58" t="inlineStr">
        <is>
          <t>2026-02-05 20:38:16</t>
        </is>
      </c>
      <c r="E58" t="inlineStr">
        <is>
          <t>69529a</t>
        </is>
      </c>
      <c r="F58" t="inlineStr">
        <is>
          <t>calstatela.edu_studenthealthcenter</t>
        </is>
      </c>
      <c r="G58" t="inlineStr">
        <is>
          <t>CSULA-content-manager_eop</t>
        </is>
      </c>
      <c r="H58" t="n">
        <v>1</v>
      </c>
      <c r="I58" t="n">
        <v>2</v>
      </c>
      <c r="J58" t="inlineStr">
        <is>
          <t>No</t>
        </is>
      </c>
      <c r="K58" t="n">
        <v>1</v>
      </c>
      <c r="L58" t="inlineStr">
        <is>
          <t>No</t>
        </is>
      </c>
      <c r="M58" t="inlineStr">
        <is>
          <t>Yes</t>
        </is>
      </c>
      <c r="N58" t="n">
        <v>1</v>
      </c>
      <c r="O58" t="inlineStr">
        <is>
          <t>No</t>
        </is>
      </c>
      <c r="P58" t="n">
        <v>0</v>
      </c>
      <c r="R58" t="n">
        <v>0</v>
      </c>
      <c r="S58" t="n">
        <v>0</v>
      </c>
      <c r="T58" t="n">
        <v>2</v>
      </c>
      <c r="U58" t="inlineStr">
        <is>
          <t>Yes</t>
        </is>
      </c>
      <c r="V58" t="inlineStr">
        <is>
          <t>No</t>
        </is>
      </c>
    </row>
    <row r="59">
      <c r="A59" t="inlineStr">
        <is>
          <t>2026 Campus Safety Plan</t>
        </is>
      </c>
      <c r="B59" s="1">
        <f>HYPERLINK("https://www.calstatela.edu/sites/default/files/2026%20Campus%20Safety%20Plan.pdf", "https://www.calstatela.edu/sites/default/files/2026%20Campus%20Safety%20Plan.pdf")</f>
        <v/>
      </c>
      <c r="C59" s="1">
        <f>HYPERLINK("https://www.calstatela.edu/studenthealthcenter/measles-what-you-need-know", "https://www.calstatela.edu/studenthealthcenter/measles-what-you-need-know")</f>
        <v/>
      </c>
      <c r="D59" t="inlineStr">
        <is>
          <t>2026-02-05 20:38:53</t>
        </is>
      </c>
      <c r="E59" t="inlineStr">
        <is>
          <t>69529a</t>
        </is>
      </c>
      <c r="F59" t="inlineStr">
        <is>
          <t>calstatela.edu_studenthealthcenter</t>
        </is>
      </c>
      <c r="G59" t="inlineStr">
        <is>
          <t>CSULA-content-manager_eop</t>
        </is>
      </c>
      <c r="H59" t="n">
        <v>1</v>
      </c>
      <c r="I59" t="n">
        <v>2</v>
      </c>
      <c r="J59" t="inlineStr">
        <is>
          <t>No</t>
        </is>
      </c>
      <c r="K59" t="n">
        <v>1</v>
      </c>
      <c r="L59" t="inlineStr">
        <is>
          <t>No</t>
        </is>
      </c>
      <c r="M59" t="inlineStr">
        <is>
          <t>Yes</t>
        </is>
      </c>
      <c r="N59" t="n">
        <v>1</v>
      </c>
      <c r="O59" t="inlineStr">
        <is>
          <t>No</t>
        </is>
      </c>
      <c r="P59" t="n">
        <v>0</v>
      </c>
      <c r="R59" t="n">
        <v>0</v>
      </c>
      <c r="S59" t="n">
        <v>0</v>
      </c>
      <c r="T59" t="n">
        <v>2</v>
      </c>
      <c r="U59" t="inlineStr">
        <is>
          <t>Yes</t>
        </is>
      </c>
      <c r="V59" t="inlineStr">
        <is>
          <t>No</t>
        </is>
      </c>
    </row>
    <row r="60">
      <c r="A60" t="inlineStr">
        <is>
          <t>2026 Campus Safety Plan</t>
        </is>
      </c>
      <c r="B60" s="1">
        <f>HYPERLINK("https://www.calstatela.edu/sites/default/files/2026%20Campus%20Safety%20Plan.pdf", "https://www.calstatela.edu/sites/default/files/2026%20Campus%20Safety%20Plan.pdf")</f>
        <v/>
      </c>
      <c r="C60" s="1">
        <f>HYPERLINK("https://www.calstatela.edu/studenthealthcenter/mental-health-first-aid-training", "https://www.calstatela.edu/studenthealthcenter/mental-health-first-aid-training")</f>
        <v/>
      </c>
      <c r="D60" t="inlineStr">
        <is>
          <t>2026-02-05 20:38:53</t>
        </is>
      </c>
      <c r="E60" t="inlineStr">
        <is>
          <t>69529a</t>
        </is>
      </c>
      <c r="F60" t="inlineStr">
        <is>
          <t>calstatela.edu_studenthealthcenter</t>
        </is>
      </c>
      <c r="G60" t="inlineStr">
        <is>
          <t>CSULA-content-manager_eop</t>
        </is>
      </c>
      <c r="H60" t="n">
        <v>1</v>
      </c>
      <c r="I60" t="n">
        <v>2</v>
      </c>
      <c r="J60" t="inlineStr">
        <is>
          <t>No</t>
        </is>
      </c>
      <c r="K60" t="n">
        <v>1</v>
      </c>
      <c r="L60" t="inlineStr">
        <is>
          <t>No</t>
        </is>
      </c>
      <c r="M60" t="inlineStr">
        <is>
          <t>Yes</t>
        </is>
      </c>
      <c r="N60" t="n">
        <v>1</v>
      </c>
      <c r="O60" t="inlineStr">
        <is>
          <t>No</t>
        </is>
      </c>
      <c r="P60" t="n">
        <v>0</v>
      </c>
      <c r="R60" t="n">
        <v>0</v>
      </c>
      <c r="S60" t="n">
        <v>0</v>
      </c>
      <c r="T60" t="n">
        <v>2</v>
      </c>
      <c r="U60" t="inlineStr">
        <is>
          <t>Yes</t>
        </is>
      </c>
      <c r="V60" t="inlineStr">
        <is>
          <t>No</t>
        </is>
      </c>
    </row>
    <row r="61">
      <c r="A61" t="inlineStr">
        <is>
          <t>2026 Campus Safety Plan</t>
        </is>
      </c>
      <c r="B61" s="1">
        <f>HYPERLINK("https://www.calstatela.edu/sites/default/files/2026%20Campus%20Safety%20Plan.pdf", "https://www.calstatela.edu/sites/default/files/2026%20Campus%20Safety%20Plan.pdf")</f>
        <v/>
      </c>
      <c r="C61" s="1">
        <f>HYPERLINK("https://www.calstatela.edu/studenthealthcenter/naloxone-training", "https://www.calstatela.edu/studenthealthcenter/naloxone-training")</f>
        <v/>
      </c>
      <c r="D61" t="inlineStr">
        <is>
          <t>2026-02-05 20:38:53</t>
        </is>
      </c>
      <c r="E61" t="inlineStr">
        <is>
          <t>69529a</t>
        </is>
      </c>
      <c r="F61" t="inlineStr">
        <is>
          <t>calstatela.edu_studenthealthcenter</t>
        </is>
      </c>
      <c r="G61" t="inlineStr">
        <is>
          <t>CSULA-content-manager_eop</t>
        </is>
      </c>
      <c r="H61" t="n">
        <v>1</v>
      </c>
      <c r="I61" t="n">
        <v>2</v>
      </c>
      <c r="J61" t="inlineStr">
        <is>
          <t>No</t>
        </is>
      </c>
      <c r="K61" t="n">
        <v>1</v>
      </c>
      <c r="L61" t="inlineStr">
        <is>
          <t>No</t>
        </is>
      </c>
      <c r="M61" t="inlineStr">
        <is>
          <t>Yes</t>
        </is>
      </c>
      <c r="N61" t="n">
        <v>1</v>
      </c>
      <c r="O61" t="inlineStr">
        <is>
          <t>No</t>
        </is>
      </c>
      <c r="P61" t="n">
        <v>0</v>
      </c>
      <c r="R61" t="n">
        <v>0</v>
      </c>
      <c r="S61" t="n">
        <v>0</v>
      </c>
      <c r="T61" t="n">
        <v>2</v>
      </c>
      <c r="U61" t="inlineStr">
        <is>
          <t>Yes</t>
        </is>
      </c>
      <c r="V61" t="inlineStr">
        <is>
          <t>No</t>
        </is>
      </c>
    </row>
    <row r="62">
      <c r="A62" t="inlineStr">
        <is>
          <t>2026 Campus Safety Plan</t>
        </is>
      </c>
      <c r="B62" s="1">
        <f>HYPERLINK("https://www.calstatela.edu/sites/default/files/2026%20Campus%20Safety%20Plan.pdf", "https://www.calstatela.edu/sites/default/files/2026%20Campus%20Safety%20Plan.pdf")</f>
        <v/>
      </c>
      <c r="C62" s="1">
        <f>HYPERLINK("https://www.calstatela.edu/studenthealthcenter/our-staff", "https://www.calstatela.edu/studenthealthcenter/our-staff")</f>
        <v/>
      </c>
      <c r="D62" t="inlineStr">
        <is>
          <t>2026-02-05 20:38:16</t>
        </is>
      </c>
      <c r="E62" t="inlineStr">
        <is>
          <t>69529a</t>
        </is>
      </c>
      <c r="F62" t="inlineStr">
        <is>
          <t>calstatela.edu_studenthealthcenter</t>
        </is>
      </c>
      <c r="G62" t="inlineStr">
        <is>
          <t>CSULA-content-manager_eop</t>
        </is>
      </c>
      <c r="H62" t="n">
        <v>1</v>
      </c>
      <c r="I62" t="n">
        <v>2</v>
      </c>
      <c r="J62" t="inlineStr">
        <is>
          <t>No</t>
        </is>
      </c>
      <c r="K62" t="n">
        <v>1</v>
      </c>
      <c r="L62" t="inlineStr">
        <is>
          <t>No</t>
        </is>
      </c>
      <c r="M62" t="inlineStr">
        <is>
          <t>Yes</t>
        </is>
      </c>
      <c r="N62" t="n">
        <v>1</v>
      </c>
      <c r="O62" t="inlineStr">
        <is>
          <t>No</t>
        </is>
      </c>
      <c r="P62" t="n">
        <v>0</v>
      </c>
      <c r="R62" t="n">
        <v>0</v>
      </c>
      <c r="S62" t="n">
        <v>0</v>
      </c>
      <c r="T62" t="n">
        <v>2</v>
      </c>
      <c r="U62" t="inlineStr">
        <is>
          <t>Yes</t>
        </is>
      </c>
      <c r="V62" t="inlineStr">
        <is>
          <t>No</t>
        </is>
      </c>
    </row>
    <row r="63">
      <c r="A63" t="inlineStr">
        <is>
          <t>2026 Campus Safety Plan</t>
        </is>
      </c>
      <c r="B63" s="1">
        <f>HYPERLINK("https://www.calstatela.edu/sites/default/files/2026%20Campus%20Safety%20Plan.pdf", "https://www.calstatela.edu/sites/default/files/2026%20Campus%20Safety%20Plan.pdf")</f>
        <v/>
      </c>
      <c r="C63" s="1">
        <f>HYPERLINK("https://www.calstatela.edu/studenthealthcenter/patient-portal", "https://www.calstatela.edu/studenthealthcenter/patient-portal")</f>
        <v/>
      </c>
      <c r="D63" t="inlineStr">
        <is>
          <t>2026-02-05 20:38:16</t>
        </is>
      </c>
      <c r="E63" t="inlineStr">
        <is>
          <t>69529a</t>
        </is>
      </c>
      <c r="F63" t="inlineStr">
        <is>
          <t>calstatela.edu_studenthealthcenter</t>
        </is>
      </c>
      <c r="G63" t="inlineStr">
        <is>
          <t>CSULA-content-manager_eop</t>
        </is>
      </c>
      <c r="H63" t="n">
        <v>1</v>
      </c>
      <c r="I63" t="n">
        <v>2</v>
      </c>
      <c r="J63" t="inlineStr">
        <is>
          <t>No</t>
        </is>
      </c>
      <c r="K63" t="n">
        <v>1</v>
      </c>
      <c r="L63" t="inlineStr">
        <is>
          <t>No</t>
        </is>
      </c>
      <c r="M63" t="inlineStr">
        <is>
          <t>Yes</t>
        </is>
      </c>
      <c r="N63" t="n">
        <v>1</v>
      </c>
      <c r="O63" t="inlineStr">
        <is>
          <t>No</t>
        </is>
      </c>
      <c r="P63" t="n">
        <v>0</v>
      </c>
      <c r="R63" t="n">
        <v>0</v>
      </c>
      <c r="S63" t="n">
        <v>0</v>
      </c>
      <c r="T63" t="n">
        <v>2</v>
      </c>
      <c r="U63" t="inlineStr">
        <is>
          <t>Yes</t>
        </is>
      </c>
      <c r="V63" t="inlineStr">
        <is>
          <t>No</t>
        </is>
      </c>
    </row>
    <row r="64">
      <c r="A64" t="inlineStr">
        <is>
          <t>2026 Campus Safety Plan</t>
        </is>
      </c>
      <c r="B64" s="1">
        <f>HYPERLINK("https://www.calstatela.edu/sites/default/files/2026%20Campus%20Safety%20Plan.pdf", "https://www.calstatela.edu/sites/default/files/2026%20Campus%20Safety%20Plan.pdf")</f>
        <v/>
      </c>
      <c r="C64" s="1">
        <f>HYPERLINK("https://www.calstatela.edu/studenthealthcenter/patient-satisfaction-rights-and-responsibilities", "https://www.calstatela.edu/studenthealthcenter/patient-satisfaction-rights-and-responsibilities")</f>
        <v/>
      </c>
      <c r="D64" t="inlineStr">
        <is>
          <t>2026-02-05 20:38:16</t>
        </is>
      </c>
      <c r="E64" t="inlineStr">
        <is>
          <t>69529a</t>
        </is>
      </c>
      <c r="F64" t="inlineStr">
        <is>
          <t>calstatela.edu_studenthealthcenter</t>
        </is>
      </c>
      <c r="G64" t="inlineStr">
        <is>
          <t>CSULA-content-manager_eop</t>
        </is>
      </c>
      <c r="H64" t="n">
        <v>1</v>
      </c>
      <c r="I64" t="n">
        <v>2</v>
      </c>
      <c r="J64" t="inlineStr">
        <is>
          <t>No</t>
        </is>
      </c>
      <c r="K64" t="n">
        <v>1</v>
      </c>
      <c r="L64" t="inlineStr">
        <is>
          <t>No</t>
        </is>
      </c>
      <c r="M64" t="inlineStr">
        <is>
          <t>Yes</t>
        </is>
      </c>
      <c r="N64" t="n">
        <v>1</v>
      </c>
      <c r="O64" t="inlineStr">
        <is>
          <t>No</t>
        </is>
      </c>
      <c r="P64" t="n">
        <v>0</v>
      </c>
      <c r="R64" t="n">
        <v>0</v>
      </c>
      <c r="S64" t="n">
        <v>0</v>
      </c>
      <c r="T64" t="n">
        <v>2</v>
      </c>
      <c r="U64" t="inlineStr">
        <is>
          <t>Yes</t>
        </is>
      </c>
      <c r="V64" t="inlineStr">
        <is>
          <t>No</t>
        </is>
      </c>
    </row>
    <row r="65">
      <c r="A65" t="inlineStr">
        <is>
          <t>2026 Campus Safety Plan</t>
        </is>
      </c>
      <c r="B65" s="1">
        <f>HYPERLINK("https://www.calstatela.edu/sites/default/files/2026%20Campus%20Safety%20Plan.pdf", "https://www.calstatela.edu/sites/default/files/2026%20Campus%20Safety%20Plan.pdf")</f>
        <v/>
      </c>
      <c r="C65" s="1">
        <f>HYPERLINK("https://www.calstatela.edu/studenthealthcenter/peace-over-violence", "https://www.calstatela.edu/studenthealthcenter/peace-over-violence")</f>
        <v/>
      </c>
      <c r="D65" t="inlineStr">
        <is>
          <t>2026-02-05 20:39:02</t>
        </is>
      </c>
      <c r="E65" t="inlineStr">
        <is>
          <t>69529a</t>
        </is>
      </c>
      <c r="F65" t="inlineStr">
        <is>
          <t>calstatela.edu_studenthealthcenter</t>
        </is>
      </c>
      <c r="G65" t="inlineStr">
        <is>
          <t>CSULA-content-manager_eop</t>
        </is>
      </c>
      <c r="H65" t="n">
        <v>1</v>
      </c>
      <c r="I65" t="n">
        <v>2</v>
      </c>
      <c r="J65" t="inlineStr">
        <is>
          <t>No</t>
        </is>
      </c>
      <c r="K65" t="n">
        <v>1</v>
      </c>
      <c r="L65" t="inlineStr">
        <is>
          <t>No</t>
        </is>
      </c>
      <c r="M65" t="inlineStr">
        <is>
          <t>Yes</t>
        </is>
      </c>
      <c r="N65" t="n">
        <v>1</v>
      </c>
      <c r="O65" t="inlineStr">
        <is>
          <t>No</t>
        </is>
      </c>
      <c r="P65" t="n">
        <v>0</v>
      </c>
      <c r="R65" t="n">
        <v>0</v>
      </c>
      <c r="S65" t="n">
        <v>0</v>
      </c>
      <c r="T65" t="n">
        <v>2</v>
      </c>
      <c r="U65" t="inlineStr">
        <is>
          <t>Yes</t>
        </is>
      </c>
      <c r="V65" t="inlineStr">
        <is>
          <t>No</t>
        </is>
      </c>
    </row>
    <row r="66">
      <c r="A66" t="inlineStr">
        <is>
          <t>2026 Campus Safety Plan</t>
        </is>
      </c>
      <c r="B66" s="1">
        <f>HYPERLINK("https://www.calstatela.edu/sites/default/files/2026%20Campus%20Safety%20Plan.pdf", "https://www.calstatela.edu/sites/default/files/2026%20Campus%20Safety%20Plan.pdf")</f>
        <v/>
      </c>
      <c r="C66" s="1">
        <f>HYPERLINK("https://www.calstatela.edu/studenthealthcenter/ph-4960-internship-program", "https://www.calstatela.edu/studenthealthcenter/ph-4960-internship-program")</f>
        <v/>
      </c>
      <c r="D66" t="inlineStr">
        <is>
          <t>2026-02-05 20:39:02</t>
        </is>
      </c>
      <c r="E66" t="inlineStr">
        <is>
          <t>69529a</t>
        </is>
      </c>
      <c r="F66" t="inlineStr">
        <is>
          <t>calstatela.edu_studenthealthcenter</t>
        </is>
      </c>
      <c r="G66" t="inlineStr">
        <is>
          <t>CSULA-content-manager_eop</t>
        </is>
      </c>
      <c r="H66" t="n">
        <v>1</v>
      </c>
      <c r="I66" t="n">
        <v>2</v>
      </c>
      <c r="J66" t="inlineStr">
        <is>
          <t>No</t>
        </is>
      </c>
      <c r="K66" t="n">
        <v>1</v>
      </c>
      <c r="L66" t="inlineStr">
        <is>
          <t>No</t>
        </is>
      </c>
      <c r="M66" t="inlineStr">
        <is>
          <t>Yes</t>
        </is>
      </c>
      <c r="N66" t="n">
        <v>1</v>
      </c>
      <c r="O66" t="inlineStr">
        <is>
          <t>No</t>
        </is>
      </c>
      <c r="P66" t="n">
        <v>0</v>
      </c>
      <c r="R66" t="n">
        <v>0</v>
      </c>
      <c r="S66" t="n">
        <v>0</v>
      </c>
      <c r="T66" t="n">
        <v>2</v>
      </c>
      <c r="U66" t="inlineStr">
        <is>
          <t>Yes</t>
        </is>
      </c>
      <c r="V66" t="inlineStr">
        <is>
          <t>No</t>
        </is>
      </c>
    </row>
    <row r="67">
      <c r="A67" t="inlineStr">
        <is>
          <t>2026 Campus Safety Plan</t>
        </is>
      </c>
      <c r="B67" s="1">
        <f>HYPERLINK("https://www.calstatela.edu/sites/default/files/2026%20Campus%20Safety%20Plan.pdf", "https://www.calstatela.edu/sites/default/files/2026%20Campus%20Safety%20Plan.pdf")</f>
        <v/>
      </c>
      <c r="C67" s="1">
        <f>HYPERLINK("https://www.calstatela.edu/studenthealthcenter/privacy-notice", "https://www.calstatela.edu/studenthealthcenter/privacy-notice")</f>
        <v/>
      </c>
      <c r="D67" t="inlineStr">
        <is>
          <t>2026-02-05 20:38:22</t>
        </is>
      </c>
      <c r="E67" t="inlineStr">
        <is>
          <t>69529a</t>
        </is>
      </c>
      <c r="F67" t="inlineStr">
        <is>
          <t>calstatela.edu_studenthealthcenter</t>
        </is>
      </c>
      <c r="G67" t="inlineStr">
        <is>
          <t>CSULA-content-manager_eop</t>
        </is>
      </c>
      <c r="H67" t="n">
        <v>1</v>
      </c>
      <c r="I67" t="n">
        <v>2</v>
      </c>
      <c r="J67" t="inlineStr">
        <is>
          <t>No</t>
        </is>
      </c>
      <c r="K67" t="n">
        <v>1</v>
      </c>
      <c r="L67" t="inlineStr">
        <is>
          <t>No</t>
        </is>
      </c>
      <c r="M67" t="inlineStr">
        <is>
          <t>Yes</t>
        </is>
      </c>
      <c r="N67" t="n">
        <v>1</v>
      </c>
      <c r="O67" t="inlineStr">
        <is>
          <t>No</t>
        </is>
      </c>
      <c r="P67" t="n">
        <v>0</v>
      </c>
      <c r="R67" t="n">
        <v>0</v>
      </c>
      <c r="S67" t="n">
        <v>0</v>
      </c>
      <c r="T67" t="n">
        <v>2</v>
      </c>
      <c r="U67" t="inlineStr">
        <is>
          <t>Yes</t>
        </is>
      </c>
      <c r="V67" t="inlineStr">
        <is>
          <t>No</t>
        </is>
      </c>
    </row>
    <row r="68">
      <c r="A68" t="inlineStr">
        <is>
          <t>2026 Campus Safety Plan</t>
        </is>
      </c>
      <c r="B68" s="1">
        <f>HYPERLINK("https://www.calstatela.edu/sites/default/files/2026%20Campus%20Safety%20Plan.pdf", "https://www.calstatela.edu/sites/default/files/2026%20Campus%20Safety%20Plan.pdf")</f>
        <v/>
      </c>
      <c r="C68" s="1">
        <f>HYPERLINK("https://www.calstatela.edu/studenthealthcenter/safe", "https://www.calstatela.edu/studenthealthcenter/safe")</f>
        <v/>
      </c>
      <c r="D68" t="inlineStr">
        <is>
          <t>2026-02-05 20:38:16</t>
        </is>
      </c>
      <c r="E68" t="inlineStr">
        <is>
          <t>69529a</t>
        </is>
      </c>
      <c r="F68" t="inlineStr">
        <is>
          <t>calstatela.edu_studenthealthcenter</t>
        </is>
      </c>
      <c r="G68" t="inlineStr">
        <is>
          <t>CSULA-content-manager_eop</t>
        </is>
      </c>
      <c r="H68" t="n">
        <v>1</v>
      </c>
      <c r="I68" t="n">
        <v>2</v>
      </c>
      <c r="J68" t="inlineStr">
        <is>
          <t>No</t>
        </is>
      </c>
      <c r="K68" t="n">
        <v>1</v>
      </c>
      <c r="L68" t="inlineStr">
        <is>
          <t>No</t>
        </is>
      </c>
      <c r="M68" t="inlineStr">
        <is>
          <t>Yes</t>
        </is>
      </c>
      <c r="N68" t="n">
        <v>1</v>
      </c>
      <c r="O68" t="inlineStr">
        <is>
          <t>No</t>
        </is>
      </c>
      <c r="P68" t="n">
        <v>0</v>
      </c>
      <c r="R68" t="n">
        <v>0</v>
      </c>
      <c r="S68" t="n">
        <v>0</v>
      </c>
      <c r="T68" t="n">
        <v>2</v>
      </c>
      <c r="U68" t="inlineStr">
        <is>
          <t>Yes</t>
        </is>
      </c>
      <c r="V68" t="inlineStr">
        <is>
          <t>No</t>
        </is>
      </c>
    </row>
    <row r="69">
      <c r="A69" t="inlineStr">
        <is>
          <t>2026 Campus Safety Plan</t>
        </is>
      </c>
      <c r="B69" s="1">
        <f>HYPERLINK("https://www.calstatela.edu/sites/default/files/2026%20Campus%20Safety%20Plan.pdf", "https://www.calstatela.edu/sites/default/files/2026%20Campus%20Safety%20Plan.pdf")</f>
        <v/>
      </c>
      <c r="C69" s="1">
        <f>HYPERLINK("https://www.calstatela.edu/studenthealthcenter/safe/24-hour-hotlines-and-local-services", "https://www.calstatela.edu/studenthealthcenter/safe/24-hour-hotlines-and-local-services")</f>
        <v/>
      </c>
      <c r="D69" t="inlineStr">
        <is>
          <t>2026-02-05 20:39:02</t>
        </is>
      </c>
      <c r="E69" t="inlineStr">
        <is>
          <t>69529a</t>
        </is>
      </c>
      <c r="F69" t="inlineStr">
        <is>
          <t>calstatela.edu_studenthealthcenter</t>
        </is>
      </c>
      <c r="G69" t="inlineStr">
        <is>
          <t>CSULA-content-manager_eop</t>
        </is>
      </c>
      <c r="H69" t="n">
        <v>1</v>
      </c>
      <c r="I69" t="n">
        <v>2</v>
      </c>
      <c r="J69" t="inlineStr">
        <is>
          <t>No</t>
        </is>
      </c>
      <c r="K69" t="n">
        <v>1</v>
      </c>
      <c r="L69" t="inlineStr">
        <is>
          <t>No</t>
        </is>
      </c>
      <c r="M69" t="inlineStr">
        <is>
          <t>Yes</t>
        </is>
      </c>
      <c r="N69" t="n">
        <v>1</v>
      </c>
      <c r="O69" t="inlineStr">
        <is>
          <t>No</t>
        </is>
      </c>
      <c r="P69" t="n">
        <v>0</v>
      </c>
      <c r="R69" t="n">
        <v>0</v>
      </c>
      <c r="S69" t="n">
        <v>0</v>
      </c>
      <c r="T69" t="n">
        <v>2</v>
      </c>
      <c r="U69" t="inlineStr">
        <is>
          <t>Yes</t>
        </is>
      </c>
      <c r="V69" t="inlineStr">
        <is>
          <t>No</t>
        </is>
      </c>
    </row>
    <row r="70">
      <c r="A70" t="inlineStr">
        <is>
          <t>2026 Campus Safety Plan</t>
        </is>
      </c>
      <c r="B70" s="1">
        <f>HYPERLINK("https://www.calstatela.edu/sites/default/files/2026%20Campus%20Safety%20Plan.pdf", "https://www.calstatela.edu/sites/default/files/2026%20Campus%20Safety%20Plan.pdf")</f>
        <v/>
      </c>
      <c r="C70" s="1">
        <f>HYPERLINK("https://www.calstatela.edu/studenthealthcenter/safe/education-awareness", "https://www.calstatela.edu/studenthealthcenter/safe/education-awareness")</f>
        <v/>
      </c>
      <c r="D70" t="inlineStr">
        <is>
          <t>2026-02-05 20:39:02</t>
        </is>
      </c>
      <c r="E70" t="inlineStr">
        <is>
          <t>69529a</t>
        </is>
      </c>
      <c r="F70" t="inlineStr">
        <is>
          <t>calstatela.edu_studenthealthcenter</t>
        </is>
      </c>
      <c r="G70" t="inlineStr">
        <is>
          <t>CSULA-content-manager_eop</t>
        </is>
      </c>
      <c r="H70" t="n">
        <v>1</v>
      </c>
      <c r="I70" t="n">
        <v>2</v>
      </c>
      <c r="J70" t="inlineStr">
        <is>
          <t>No</t>
        </is>
      </c>
      <c r="K70" t="n">
        <v>1</v>
      </c>
      <c r="L70" t="inlineStr">
        <is>
          <t>No</t>
        </is>
      </c>
      <c r="M70" t="inlineStr">
        <is>
          <t>Yes</t>
        </is>
      </c>
      <c r="N70" t="n">
        <v>1</v>
      </c>
      <c r="O70" t="inlineStr">
        <is>
          <t>No</t>
        </is>
      </c>
      <c r="P70" t="n">
        <v>0</v>
      </c>
      <c r="R70" t="n">
        <v>0</v>
      </c>
      <c r="S70" t="n">
        <v>0</v>
      </c>
      <c r="T70" t="n">
        <v>2</v>
      </c>
      <c r="U70" t="inlineStr">
        <is>
          <t>Yes</t>
        </is>
      </c>
      <c r="V70" t="inlineStr">
        <is>
          <t>No</t>
        </is>
      </c>
    </row>
    <row r="71">
      <c r="A71" t="inlineStr">
        <is>
          <t>2026 Campus Safety Plan</t>
        </is>
      </c>
      <c r="B71" s="1">
        <f>HYPERLINK("https://www.calstatela.edu/sites/default/files/2026%20Campus%20Safety%20Plan.pdf", "https://www.calstatela.edu/sites/default/files/2026%20Campus%20Safety%20Plan.pdf")</f>
        <v/>
      </c>
      <c r="C71" s="1">
        <f>HYPERLINK("https://www.calstatela.edu/studenthealthcenter/safe/resources", "https://www.calstatela.edu/studenthealthcenter/safe/resources")</f>
        <v/>
      </c>
      <c r="D71" t="inlineStr">
        <is>
          <t>2026-02-05 20:39:09</t>
        </is>
      </c>
      <c r="E71" t="inlineStr">
        <is>
          <t>69529a</t>
        </is>
      </c>
      <c r="F71" t="inlineStr">
        <is>
          <t>calstatela.edu_studenthealthcenter</t>
        </is>
      </c>
      <c r="G71" t="inlineStr">
        <is>
          <t>CSULA-content-manager_eop</t>
        </is>
      </c>
      <c r="H71" t="n">
        <v>1</v>
      </c>
      <c r="I71" t="n">
        <v>2</v>
      </c>
      <c r="J71" t="inlineStr">
        <is>
          <t>No</t>
        </is>
      </c>
      <c r="K71" t="n">
        <v>1</v>
      </c>
      <c r="L71" t="inlineStr">
        <is>
          <t>No</t>
        </is>
      </c>
      <c r="M71" t="inlineStr">
        <is>
          <t>Yes</t>
        </is>
      </c>
      <c r="N71" t="n">
        <v>1</v>
      </c>
      <c r="O71" t="inlineStr">
        <is>
          <t>No</t>
        </is>
      </c>
      <c r="P71" t="n">
        <v>0</v>
      </c>
      <c r="R71" t="n">
        <v>0</v>
      </c>
      <c r="S71" t="n">
        <v>0</v>
      </c>
      <c r="T71" t="n">
        <v>2</v>
      </c>
      <c r="U71" t="inlineStr">
        <is>
          <t>Yes</t>
        </is>
      </c>
      <c r="V71" t="inlineStr">
        <is>
          <t>No</t>
        </is>
      </c>
    </row>
    <row r="72">
      <c r="A72" t="inlineStr">
        <is>
          <t>2026 Campus Safety Plan</t>
        </is>
      </c>
      <c r="B72" s="1">
        <f>HYPERLINK("https://www.calstatela.edu/sites/default/files/2026%20Campus%20Safety%20Plan.pdf", "https://www.calstatela.edu/sites/default/files/2026%20Campus%20Safety%20Plan.pdf")</f>
        <v/>
      </c>
      <c r="C72" s="1">
        <f>HYPERLINK("https://www.calstatela.edu/studenthealthcenter/safe/survivor-assistance-student-health-center", "https://www.calstatela.edu/studenthealthcenter/safe/survivor-assistance-student-health-center")</f>
        <v/>
      </c>
      <c r="D72" t="inlineStr">
        <is>
          <t>2026-02-05 20:39:09</t>
        </is>
      </c>
      <c r="E72" t="inlineStr">
        <is>
          <t>69529a</t>
        </is>
      </c>
      <c r="F72" t="inlineStr">
        <is>
          <t>calstatela.edu_studenthealthcenter</t>
        </is>
      </c>
      <c r="G72" t="inlineStr">
        <is>
          <t>CSULA-content-manager_eop</t>
        </is>
      </c>
      <c r="H72" t="n">
        <v>1</v>
      </c>
      <c r="I72" t="n">
        <v>2</v>
      </c>
      <c r="J72" t="inlineStr">
        <is>
          <t>No</t>
        </is>
      </c>
      <c r="K72" t="n">
        <v>1</v>
      </c>
      <c r="L72" t="inlineStr">
        <is>
          <t>No</t>
        </is>
      </c>
      <c r="M72" t="inlineStr">
        <is>
          <t>Yes</t>
        </is>
      </c>
      <c r="N72" t="n">
        <v>1</v>
      </c>
      <c r="O72" t="inlineStr">
        <is>
          <t>No</t>
        </is>
      </c>
      <c r="P72" t="n">
        <v>0</v>
      </c>
      <c r="R72" t="n">
        <v>0</v>
      </c>
      <c r="S72" t="n">
        <v>0</v>
      </c>
      <c r="T72" t="n">
        <v>2</v>
      </c>
      <c r="U72" t="inlineStr">
        <is>
          <t>Yes</t>
        </is>
      </c>
      <c r="V72" t="inlineStr">
        <is>
          <t>No</t>
        </is>
      </c>
    </row>
    <row r="73">
      <c r="A73" t="inlineStr">
        <is>
          <t>2026 Campus Safety Plan</t>
        </is>
      </c>
      <c r="B73" s="1">
        <f>HYPERLINK("https://www.calstatela.edu/sites/default/files/2026%20Campus%20Safety%20Plan.pdf", "https://www.calstatela.edu/sites/default/files/2026%20Campus%20Safety%20Plan.pdf")</f>
        <v/>
      </c>
      <c r="C73" s="1">
        <f>HYPERLINK("https://www.calstatela.edu/studenthealthcenter/services", "https://www.calstatela.edu/studenthealthcenter/services")</f>
        <v/>
      </c>
      <c r="D73" t="inlineStr">
        <is>
          <t>2026-02-05 20:38:16</t>
        </is>
      </c>
      <c r="E73" t="inlineStr">
        <is>
          <t>69529a</t>
        </is>
      </c>
      <c r="F73" t="inlineStr">
        <is>
          <t>calstatela.edu_studenthealthcenter</t>
        </is>
      </c>
      <c r="G73" t="inlineStr">
        <is>
          <t>CSULA-content-manager_eop</t>
        </is>
      </c>
      <c r="H73" t="n">
        <v>1</v>
      </c>
      <c r="I73" t="n">
        <v>2</v>
      </c>
      <c r="J73" t="inlineStr">
        <is>
          <t>No</t>
        </is>
      </c>
      <c r="K73" t="n">
        <v>1</v>
      </c>
      <c r="L73" t="inlineStr">
        <is>
          <t>No</t>
        </is>
      </c>
      <c r="M73" t="inlineStr">
        <is>
          <t>Yes</t>
        </is>
      </c>
      <c r="N73" t="n">
        <v>1</v>
      </c>
      <c r="O73" t="inlineStr">
        <is>
          <t>No</t>
        </is>
      </c>
      <c r="P73" t="n">
        <v>0</v>
      </c>
      <c r="R73" t="n">
        <v>0</v>
      </c>
      <c r="S73" t="n">
        <v>0</v>
      </c>
      <c r="T73" t="n">
        <v>2</v>
      </c>
      <c r="U73" t="inlineStr">
        <is>
          <t>Yes</t>
        </is>
      </c>
      <c r="V73" t="inlineStr">
        <is>
          <t>No</t>
        </is>
      </c>
    </row>
    <row r="74">
      <c r="A74" t="inlineStr">
        <is>
          <t>2026 Campus Safety Plan</t>
        </is>
      </c>
      <c r="B74" s="1">
        <f>HYPERLINK("https://www.calstatela.edu/sites/default/files/2026%20Campus%20Safety%20Plan.pdf", "https://www.calstatela.edu/sites/default/files/2026%20Campus%20Safety%20Plan.pdf")</f>
        <v/>
      </c>
      <c r="C74" s="1">
        <f>HYPERLINK("https://www.calstatela.edu/studenthealthcenter/student-health-ambassadors-cal-state-la", "https://www.calstatela.edu/studenthealthcenter/student-health-ambassadors-cal-state-la")</f>
        <v/>
      </c>
      <c r="D74" t="inlineStr">
        <is>
          <t>2026-02-05 20:38:22</t>
        </is>
      </c>
      <c r="E74" t="inlineStr">
        <is>
          <t>69529a</t>
        </is>
      </c>
      <c r="F74" t="inlineStr">
        <is>
          <t>calstatela.edu_studenthealthcenter</t>
        </is>
      </c>
      <c r="G74" t="inlineStr">
        <is>
          <t>CSULA-content-manager_eop</t>
        </is>
      </c>
      <c r="H74" t="n">
        <v>1</v>
      </c>
      <c r="I74" t="n">
        <v>2</v>
      </c>
      <c r="J74" t="inlineStr">
        <is>
          <t>No</t>
        </is>
      </c>
      <c r="K74" t="n">
        <v>1</v>
      </c>
      <c r="L74" t="inlineStr">
        <is>
          <t>No</t>
        </is>
      </c>
      <c r="M74" t="inlineStr">
        <is>
          <t>Yes</t>
        </is>
      </c>
      <c r="N74" t="n">
        <v>1</v>
      </c>
      <c r="O74" t="inlineStr">
        <is>
          <t>No</t>
        </is>
      </c>
      <c r="P74" t="n">
        <v>0</v>
      </c>
      <c r="R74" t="n">
        <v>0</v>
      </c>
      <c r="S74" t="n">
        <v>0</v>
      </c>
      <c r="T74" t="n">
        <v>2</v>
      </c>
      <c r="U74" t="inlineStr">
        <is>
          <t>Yes</t>
        </is>
      </c>
      <c r="V74" t="inlineStr">
        <is>
          <t>No</t>
        </is>
      </c>
    </row>
    <row r="75">
      <c r="A75" s="2" t="inlineStr">
        <is>
          <t>authorization to release phi 081419</t>
        </is>
      </c>
      <c r="B75" s="3">
        <f>HYPERLINK("https://www.calstatela.edu/sites/default/files/authorization_to_release_phi_081419.pdf", "https://www.calstatela.edu/sites/default/files/authorization_to_release_phi_081419.pdf")</f>
        <v/>
      </c>
      <c r="C75" s="3">
        <f>HYPERLINK("https://www.calstatela.edu/studenthealthcenter/forms", "https://www.calstatela.edu/studenthealthcenter/forms")</f>
        <v/>
      </c>
      <c r="D75" s="2" t="inlineStr">
        <is>
          <t>2026-02-05 20:38:16</t>
        </is>
      </c>
      <c r="E75" s="2" t="inlineStr">
        <is>
          <t>9f4c3b</t>
        </is>
      </c>
      <c r="F75" s="2" t="inlineStr">
        <is>
          <t>calstatela.edu_studenthealthcenter</t>
        </is>
      </c>
      <c r="G75" s="2" t="inlineStr">
        <is>
          <t>CSULA-content-manager_eop</t>
        </is>
      </c>
      <c r="H75" s="2" t="n">
        <v>1</v>
      </c>
      <c r="I75" s="2" t="n">
        <v>2</v>
      </c>
      <c r="J75" s="2" t="inlineStr">
        <is>
          <t>No</t>
        </is>
      </c>
      <c r="K75" s="2" t="n">
        <v>1</v>
      </c>
      <c r="L75" s="2" t="inlineStr">
        <is>
          <t>No</t>
        </is>
      </c>
      <c r="M75" s="2" t="inlineStr">
        <is>
          <t>Yes</t>
        </is>
      </c>
      <c r="N75" s="2" t="n">
        <v>1</v>
      </c>
      <c r="O75" s="2" t="inlineStr">
        <is>
          <t>No</t>
        </is>
      </c>
      <c r="P75" s="2" t="n">
        <v>0</v>
      </c>
      <c r="Q75" s="2" t="n"/>
      <c r="R75" s="2" t="n">
        <v>0</v>
      </c>
      <c r="S75" s="2" t="n">
        <v>0</v>
      </c>
      <c r="T75" s="2" t="n">
        <v>2</v>
      </c>
      <c r="U75" s="2" t="inlineStr">
        <is>
          <t>No</t>
        </is>
      </c>
      <c r="V75" s="2" t="inlineStr">
        <is>
          <t>No</t>
        </is>
      </c>
    </row>
    <row r="76">
      <c r="A76" s="2" t="inlineStr">
        <is>
          <t>drug free campus policy</t>
        </is>
      </c>
      <c r="B76" s="3">
        <f>HYPERLINK("https://www.calstatela.edu/sites/default/files/drug-free_campus_policy.pdf", "https://www.calstatela.edu/sites/default/files/drug-free_campus_policy.pdf")</f>
        <v/>
      </c>
      <c r="C76" s="3">
        <f>HYPERLINK("https://www.calstatela.edu/studenthealthcenter/cal-state-la-cannabis-smoke-vape-and-tobacco-free", "https://www.calstatela.edu/studenthealthcenter/cal-state-la-cannabis-smoke-vape-and-tobacco-free")</f>
        <v/>
      </c>
      <c r="D76" s="2" t="inlineStr">
        <is>
          <t>2026-02-05 20:38:35</t>
        </is>
      </c>
      <c r="E76" s="2" t="inlineStr">
        <is>
          <t>8cc8c5</t>
        </is>
      </c>
      <c r="F76" s="2" t="inlineStr">
        <is>
          <t>calstatela.edu_studenthealthcenter</t>
        </is>
      </c>
      <c r="G76" s="2" t="inlineStr">
        <is>
          <t>CSULA-content-manager_eop</t>
        </is>
      </c>
      <c r="H76" s="2" t="n">
        <v>1</v>
      </c>
      <c r="I76" s="2" t="n">
        <v>6</v>
      </c>
      <c r="J76" s="2" t="inlineStr">
        <is>
          <t>No</t>
        </is>
      </c>
      <c r="K76" s="2" t="n">
        <v>0</v>
      </c>
      <c r="L76" s="2" t="inlineStr">
        <is>
          <t>No</t>
        </is>
      </c>
      <c r="M76" s="2" t="inlineStr">
        <is>
          <t>No</t>
        </is>
      </c>
      <c r="N76" s="2" t="n">
        <v>0</v>
      </c>
      <c r="O76" s="2" t="inlineStr">
        <is>
          <t>Yes</t>
        </is>
      </c>
      <c r="P76" s="2" t="n">
        <v>0</v>
      </c>
      <c r="Q76" s="2" t="n"/>
      <c r="R76" s="2" t="n">
        <v>0</v>
      </c>
      <c r="S76" s="2" t="n">
        <v>0</v>
      </c>
      <c r="T76" s="2" t="n">
        <v>0</v>
      </c>
      <c r="U76" s="2" t="inlineStr">
        <is>
          <t>No</t>
        </is>
      </c>
      <c r="V76" s="2" t="inlineStr">
        <is>
          <t>No</t>
        </is>
      </c>
    </row>
    <row r="77">
      <c r="A77" s="2" t="inlineStr">
        <is>
          <t>oedi rights and options 2022</t>
        </is>
      </c>
      <c r="B77" s="3">
        <f>HYPERLINK("https://www.calstatela.edu/sites/default/files/oedi_rights_and_options_2022.pdf", "https://www.calstatela.edu/sites/default/files/oedi_rights_and_options_2022.pdf")</f>
        <v/>
      </c>
      <c r="C77" s="3">
        <f>HYPERLINK("https://www.calstatela.edu/studenthealthcenter/safe/survivor-assistance-student-health-center", "https://www.calstatela.edu/studenthealthcenter/safe/survivor-assistance-student-health-center")</f>
        <v/>
      </c>
      <c r="D77" s="2" t="inlineStr">
        <is>
          <t>2026-02-05 20:39:09</t>
        </is>
      </c>
      <c r="E77" s="2" t="inlineStr">
        <is>
          <t>87e5b5</t>
        </is>
      </c>
      <c r="F77" s="2" t="inlineStr">
        <is>
          <t>calstatela.edu_studenthealthcenter</t>
        </is>
      </c>
      <c r="G77" s="2" t="inlineStr">
        <is>
          <t>CSULA-content-manager_eop</t>
        </is>
      </c>
      <c r="H77" s="2" t="n">
        <v>1</v>
      </c>
      <c r="I77" s="2" t="n">
        <v>6</v>
      </c>
      <c r="J77" s="2" t="inlineStr">
        <is>
          <t>No</t>
        </is>
      </c>
      <c r="K77" s="2" t="n">
        <v>0</v>
      </c>
      <c r="L77" s="2" t="inlineStr">
        <is>
          <t>No</t>
        </is>
      </c>
      <c r="M77" s="2" t="inlineStr">
        <is>
          <t>Yes</t>
        </is>
      </c>
      <c r="N77" s="2" t="n">
        <v>0</v>
      </c>
      <c r="O77" s="2" t="inlineStr">
        <is>
          <t>No</t>
        </is>
      </c>
      <c r="P77" s="2" t="n">
        <v>0</v>
      </c>
      <c r="Q77" s="2" t="n"/>
      <c r="R77" s="2" t="n">
        <v>0</v>
      </c>
      <c r="S77" s="2" t="n">
        <v>0</v>
      </c>
      <c r="T77" s="2" t="n">
        <v>0</v>
      </c>
      <c r="U77" s="2" t="inlineStr">
        <is>
          <t>No</t>
        </is>
      </c>
      <c r="V77" s="2" t="inlineStr">
        <is>
          <t>No</t>
        </is>
      </c>
    </row>
    <row r="78">
      <c r="A78" s="2" t="inlineStr">
        <is>
          <t>p001</t>
        </is>
      </c>
      <c r="B78" s="3">
        <f>HYPERLINK("https://www.calstatela.edu/sites/default/files/p001.pdf", "https://www.calstatela.edu/sites/default/files/p001.pdf")</f>
        <v/>
      </c>
      <c r="C78" s="3">
        <f>HYPERLINK("https://www.calstatela.edu/studenthealthcenter/cal-state-la-cannabis-smoke-vape-and-tobacco-free", "https://www.calstatela.edu/studenthealthcenter/cal-state-la-cannabis-smoke-vape-and-tobacco-free")</f>
        <v/>
      </c>
      <c r="D78" s="2" t="inlineStr">
        <is>
          <t>2026-02-05 20:38:28</t>
        </is>
      </c>
      <c r="E78" s="2" t="inlineStr">
        <is>
          <t>aca57e</t>
        </is>
      </c>
      <c r="F78" s="2" t="inlineStr">
        <is>
          <t>calstatela.edu_studenthealthcenter</t>
        </is>
      </c>
      <c r="G78" s="2" t="inlineStr">
        <is>
          <t>CSULA-content-manager_eop</t>
        </is>
      </c>
      <c r="H78" s="2" t="n">
        <v>1</v>
      </c>
      <c r="I78" s="2" t="n">
        <v>9</v>
      </c>
      <c r="J78" s="2" t="inlineStr">
        <is>
          <t>No</t>
        </is>
      </c>
      <c r="K78" s="2" t="n">
        <v>1</v>
      </c>
      <c r="L78" s="2" t="inlineStr">
        <is>
          <t>No</t>
        </is>
      </c>
      <c r="M78" s="2" t="inlineStr">
        <is>
          <t>Yes</t>
        </is>
      </c>
      <c r="N78" s="2" t="n">
        <v>1</v>
      </c>
      <c r="O78" s="2" t="inlineStr">
        <is>
          <t>No</t>
        </is>
      </c>
      <c r="P78" s="2" t="n">
        <v>0</v>
      </c>
      <c r="Q78" s="2" t="n"/>
      <c r="R78" s="2" t="n">
        <v>0</v>
      </c>
      <c r="S78" s="2" t="n">
        <v>0</v>
      </c>
      <c r="T78" s="2" t="n">
        <v>9</v>
      </c>
      <c r="U78" s="2" t="inlineStr">
        <is>
          <t>No</t>
        </is>
      </c>
      <c r="V78" s="2" t="inlineStr">
        <is>
          <t>No</t>
        </is>
      </c>
    </row>
    <row r="79">
      <c r="A79" s="2" t="inlineStr">
        <is>
          <t>splip 1718 insurance summary</t>
        </is>
      </c>
      <c r="B79" s="3">
        <f>HYPERLINK("https://www.calstatela.edu/sites/default/files/splip_-_1718_insurance_summary.pdf", "https://www.calstatela.edu/sites/default/files/splip_-_1718_insurance_summary.pdf")</f>
        <v/>
      </c>
      <c r="C79" s="3">
        <f>HYPERLINK("https://www.calstatela.edu/studenthealthcenter/ph-4960-internship-program", "https://www.calstatela.edu/studenthealthcenter/ph-4960-internship-program")</f>
        <v/>
      </c>
      <c r="D79" s="2" t="inlineStr">
        <is>
          <t>2026-02-05 20:39:02</t>
        </is>
      </c>
      <c r="E79" s="2" t="inlineStr">
        <is>
          <t>dc71ae</t>
        </is>
      </c>
      <c r="F79" s="2" t="inlineStr">
        <is>
          <t>calstatela.edu_studenthealthcenter</t>
        </is>
      </c>
      <c r="G79" s="2" t="inlineStr">
        <is>
          <t>CSULA-content-manager_eop</t>
        </is>
      </c>
      <c r="H79" s="2" t="n">
        <v>1</v>
      </c>
      <c r="I79" s="2" t="n">
        <v>7</v>
      </c>
      <c r="J79" s="2" t="inlineStr">
        <is>
          <t>No</t>
        </is>
      </c>
      <c r="K79" s="2" t="n">
        <v>1</v>
      </c>
      <c r="L79" s="2" t="inlineStr">
        <is>
          <t>No</t>
        </is>
      </c>
      <c r="M79" s="2" t="inlineStr">
        <is>
          <t>No</t>
        </is>
      </c>
      <c r="N79" s="2" t="n">
        <v>1</v>
      </c>
      <c r="O79" s="2" t="inlineStr">
        <is>
          <t>No</t>
        </is>
      </c>
      <c r="P79" s="2" t="n">
        <v>0</v>
      </c>
      <c r="Q79" s="2" t="n"/>
      <c r="R79" s="2" t="n">
        <v>0</v>
      </c>
      <c r="S79" s="2" t="n">
        <v>0</v>
      </c>
      <c r="T79" s="2" t="n">
        <v>7</v>
      </c>
      <c r="U79" s="2" t="inlineStr">
        <is>
          <t>No</t>
        </is>
      </c>
      <c r="V79" s="2" t="inlineStr">
        <is>
          <t>No</t>
        </is>
      </c>
    </row>
  </sheetData>
  <dataValidations count="2">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showDropDown="0" showInputMessage="0" showErrorMessage="0" allowBlank="0" type="list">
      <formula1>"Yes,No"</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showDropDown="0" showInputMessage="0" showErrorMessage="0" allowBlank="0" type="list">
      <formula1>"Yes,No"</formula1>
    </dataValidation>
  </dataValidation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V79"/>
  <sheetViews>
    <sheetView workbookViewId="0">
      <selection activeCell="A1" sqref="A1"/>
    </sheetView>
  </sheetViews>
  <sheetFormatPr baseColWidth="8" defaultRowHeight="15"/>
  <sheetData>
    <row r="1">
      <c r="A1" t="inlineStr">
        <is>
          <t>pdf_title</t>
        </is>
      </c>
      <c r="B1" t="inlineStr">
        <is>
          <t>pdf_uri</t>
        </is>
      </c>
      <c r="C1" t="inlineStr">
        <is>
          <t>parent_uri</t>
        </is>
      </c>
      <c r="D1" t="inlineStr">
        <is>
          <t>scanned_date</t>
        </is>
      </c>
      <c r="E1" t="inlineStr">
        <is>
          <t>fingerprint</t>
        </is>
      </c>
      <c r="F1" t="inlineStr">
        <is>
          <t>domain_name</t>
        </is>
      </c>
      <c r="G1" t="inlineStr">
        <is>
          <t>security_group_name</t>
        </is>
      </c>
      <c r="H1" t="inlineStr">
        <is>
          <t>drupal_site_id</t>
        </is>
      </c>
      <c r="I1" t="inlineStr">
        <is>
          <t>violations</t>
        </is>
      </c>
      <c r="J1" t="inlineStr">
        <is>
          <t>failed_checks</t>
        </is>
      </c>
      <c r="K1" t="inlineStr">
        <is>
          <t>tagged</t>
        </is>
      </c>
      <c r="L1" t="inlineStr">
        <is>
          <t>pdf_text_type</t>
        </is>
      </c>
      <c r="M1" t="inlineStr">
        <is>
          <t>title_set</t>
        </is>
      </c>
      <c r="N1" t="inlineStr">
        <is>
          <t>language_set</t>
        </is>
      </c>
      <c r="O1" t="inlineStr">
        <is>
          <t>page_count</t>
        </is>
      </c>
      <c r="P1" t="inlineStr">
        <is>
          <t>has_form</t>
        </is>
      </c>
      <c r="Q1" t="inlineStr">
        <is>
          <t>approved_pdf_exporter</t>
        </is>
      </c>
      <c r="R1" t="inlineStr">
        <is>
          <t>parent_returns_404</t>
        </is>
      </c>
      <c r="S1" t="inlineStr">
        <is>
          <t>pdf_returns_404</t>
        </is>
      </c>
      <c r="T1" t="inlineStr">
        <is>
          <t>Errors/Page</t>
        </is>
      </c>
      <c r="U1" t="inlineStr">
        <is>
          <t>Low Priority</t>
        </is>
      </c>
      <c r="V1" t="inlineStr">
        <is>
          <t>DPRC Will Remediate</t>
        </is>
      </c>
    </row>
    <row r="2">
      <c r="A2" t="inlineStr">
        <is>
          <t>2025 Annual Security Report</t>
        </is>
      </c>
      <c r="B2" s="1">
        <f>HYPERLINK("https://www.calstatela.edu/sites/default/files/2025%20Annual%20Security%20Report.pdf", "https://www.calstatela.edu/sites/default/files/2025%20Annual%20Security%20Report.pdf")</f>
        <v/>
      </c>
      <c r="C2" s="1">
        <f>HYPERLINK("https://www.calstatela.edu/studenthealthcenter", "https://www.calstatela.edu/studenthealthcenter")</f>
        <v/>
      </c>
      <c r="D2" t="inlineStr">
        <is>
          <t>2026-02-05 20:38:01</t>
        </is>
      </c>
      <c r="E2" t="inlineStr">
        <is>
          <t>d35aba</t>
        </is>
      </c>
      <c r="F2" t="inlineStr">
        <is>
          <t>calstatela.edu_studenthealthcenter</t>
        </is>
      </c>
      <c r="G2" t="inlineStr">
        <is>
          <t>CSULA-content-manager_eop</t>
        </is>
      </c>
      <c r="H2" t="n">
        <v>1</v>
      </c>
      <c r="I2" t="n">
        <v>4</v>
      </c>
      <c r="J2" t="inlineStr">
        <is>
          <t>No</t>
        </is>
      </c>
      <c r="K2" t="n">
        <v>1</v>
      </c>
      <c r="L2" t="inlineStr">
        <is>
          <t>No</t>
        </is>
      </c>
      <c r="M2" t="inlineStr">
        <is>
          <t>Yes</t>
        </is>
      </c>
      <c r="N2" t="n">
        <v>1</v>
      </c>
      <c r="O2" t="inlineStr">
        <is>
          <t>No</t>
        </is>
      </c>
      <c r="P2" t="n">
        <v>0</v>
      </c>
      <c r="R2" t="n">
        <v>0</v>
      </c>
      <c r="S2" t="n">
        <v>0</v>
      </c>
      <c r="T2" t="n">
        <v>4</v>
      </c>
      <c r="U2" t="inlineStr">
        <is>
          <t>Yes</t>
        </is>
      </c>
      <c r="V2" t="inlineStr">
        <is>
          <t>No</t>
        </is>
      </c>
    </row>
    <row r="3">
      <c r="A3" t="inlineStr">
        <is>
          <t>2026 Campus Safety Plan</t>
        </is>
      </c>
      <c r="B3" s="1">
        <f>HYPERLINK("https://www.calstatela.edu/sites/default/files/2026%20Campus%20Safety%20Plan.pdf", "https://www.calstatela.edu/sites/default/files/2026%20Campus%20Safety%20Plan.pdf")</f>
        <v/>
      </c>
      <c r="C3" s="1">
        <f>HYPERLINK("https://www.calstatela.edu/studenthealthcenter", "https://www.calstatela.edu/studenthealthcenter")</f>
        <v/>
      </c>
      <c r="D3" t="inlineStr">
        <is>
          <t>2026-02-05 20:38:10</t>
        </is>
      </c>
      <c r="E3" t="inlineStr">
        <is>
          <t>69529a</t>
        </is>
      </c>
      <c r="F3" t="inlineStr">
        <is>
          <t>calstatela.edu_studenthealthcenter</t>
        </is>
      </c>
      <c r="G3" t="inlineStr">
        <is>
          <t>CSULA-content-manager_eop</t>
        </is>
      </c>
      <c r="H3" t="n">
        <v>1</v>
      </c>
      <c r="I3" t="n">
        <v>2</v>
      </c>
      <c r="J3" t="inlineStr">
        <is>
          <t>No</t>
        </is>
      </c>
      <c r="K3" t="n">
        <v>1</v>
      </c>
      <c r="L3" t="inlineStr">
        <is>
          <t>No</t>
        </is>
      </c>
      <c r="M3" t="inlineStr">
        <is>
          <t>Yes</t>
        </is>
      </c>
      <c r="N3" t="n">
        <v>1</v>
      </c>
      <c r="O3" t="inlineStr">
        <is>
          <t>No</t>
        </is>
      </c>
      <c r="P3" t="n">
        <v>0</v>
      </c>
      <c r="R3" t="n">
        <v>0</v>
      </c>
      <c r="S3" t="n">
        <v>0</v>
      </c>
      <c r="T3" t="n">
        <v>2</v>
      </c>
      <c r="U3" t="inlineStr">
        <is>
          <t>Yes</t>
        </is>
      </c>
      <c r="V3" t="inlineStr">
        <is>
          <t>No</t>
        </is>
      </c>
    </row>
    <row r="4">
      <c r="A4" t="inlineStr">
        <is>
          <t>2025 Annual Security Report</t>
        </is>
      </c>
      <c r="B4" s="1">
        <f>HYPERLINK("https://www.calstatela.edu/sites/default/files/2025%20Annual%20Security%20Report.pdf", "https://www.calstatela.edu/sites/default/files/2025%20Annual%20Security%20Report.pdf")</f>
        <v/>
      </c>
      <c r="C4" s="1">
        <f>HYPERLINK("https://www.calstatela.edu/studenthealthcenter/after-hours-and-emergencies-care", "https://www.calstatela.edu/studenthealthcenter/after-hours-and-emergencies-care")</f>
        <v/>
      </c>
      <c r="D4" t="inlineStr">
        <is>
          <t>2026-02-05 20:38:16</t>
        </is>
      </c>
      <c r="E4" t="inlineStr">
        <is>
          <t>d35aba</t>
        </is>
      </c>
      <c r="F4" t="inlineStr">
        <is>
          <t>calstatela.edu_studenthealthcenter</t>
        </is>
      </c>
      <c r="G4" t="inlineStr">
        <is>
          <t>CSULA-content-manager_eop</t>
        </is>
      </c>
      <c r="H4" t="n">
        <v>1</v>
      </c>
      <c r="I4" t="n">
        <v>4</v>
      </c>
      <c r="J4" t="inlineStr">
        <is>
          <t>No</t>
        </is>
      </c>
      <c r="K4" t="n">
        <v>1</v>
      </c>
      <c r="L4" t="inlineStr">
        <is>
          <t>No</t>
        </is>
      </c>
      <c r="M4" t="inlineStr">
        <is>
          <t>Yes</t>
        </is>
      </c>
      <c r="N4" t="n">
        <v>1</v>
      </c>
      <c r="O4" t="inlineStr">
        <is>
          <t>No</t>
        </is>
      </c>
      <c r="P4" t="n">
        <v>0</v>
      </c>
      <c r="R4" t="n">
        <v>0</v>
      </c>
      <c r="S4" t="n">
        <v>0</v>
      </c>
      <c r="T4" t="n">
        <v>4</v>
      </c>
      <c r="U4" t="inlineStr">
        <is>
          <t>Yes</t>
        </is>
      </c>
      <c r="V4" t="inlineStr">
        <is>
          <t>No</t>
        </is>
      </c>
    </row>
    <row r="5">
      <c r="A5" t="inlineStr">
        <is>
          <t>2026 Campus Safety Plan</t>
        </is>
      </c>
      <c r="B5" s="1">
        <f>HYPERLINK("https://www.calstatela.edu/sites/default/files/2026%20Campus%20Safety%20Plan.pdf", "https://www.calstatela.edu/sites/default/files/2026%20Campus%20Safety%20Plan.pdf")</f>
        <v/>
      </c>
      <c r="C5" s="1">
        <f>HYPERLINK("https://www.calstatela.edu/studenthealthcenter/after-hours-and-emergencies-care", "https://www.calstatela.edu/studenthealthcenter/after-hours-and-emergencies-care")</f>
        <v/>
      </c>
      <c r="D5" t="inlineStr">
        <is>
          <t>2026-02-05 20:38:16</t>
        </is>
      </c>
      <c r="E5" t="inlineStr">
        <is>
          <t>69529a</t>
        </is>
      </c>
      <c r="F5" t="inlineStr">
        <is>
          <t>calstatela.edu_studenthealthcenter</t>
        </is>
      </c>
      <c r="G5" t="inlineStr">
        <is>
          <t>CSULA-content-manager_eop</t>
        </is>
      </c>
      <c r="H5" t="n">
        <v>1</v>
      </c>
      <c r="I5" t="n">
        <v>2</v>
      </c>
      <c r="J5" t="inlineStr">
        <is>
          <t>No</t>
        </is>
      </c>
      <c r="K5" t="n">
        <v>1</v>
      </c>
      <c r="L5" t="inlineStr">
        <is>
          <t>No</t>
        </is>
      </c>
      <c r="M5" t="inlineStr">
        <is>
          <t>Yes</t>
        </is>
      </c>
      <c r="N5" t="n">
        <v>1</v>
      </c>
      <c r="O5" t="inlineStr">
        <is>
          <t>No</t>
        </is>
      </c>
      <c r="P5" t="n">
        <v>0</v>
      </c>
      <c r="R5" t="n">
        <v>0</v>
      </c>
      <c r="S5" t="n">
        <v>0</v>
      </c>
      <c r="T5" t="n">
        <v>2</v>
      </c>
      <c r="U5" t="inlineStr">
        <is>
          <t>Yes</t>
        </is>
      </c>
      <c r="V5" t="inlineStr">
        <is>
          <t>No</t>
        </is>
      </c>
    </row>
    <row r="6">
      <c r="A6" t="inlineStr">
        <is>
          <t>2025 Annual Security Report</t>
        </is>
      </c>
      <c r="B6" s="1">
        <f>HYPERLINK("https://www.calstatela.edu/sites/default/files/2025%20Annual%20Security%20Report.pdf", "https://www.calstatela.edu/sites/default/files/2025%20Annual%20Security%20Report.pdf")</f>
        <v/>
      </c>
      <c r="C6" s="1">
        <f>HYPERLINK("https://www.calstatela.edu/studenthealthcenter/alcohol-and-you", "https://www.calstatela.edu/studenthealthcenter/alcohol-and-you")</f>
        <v/>
      </c>
      <c r="D6" t="inlineStr">
        <is>
          <t>2026-02-05 20:38:53</t>
        </is>
      </c>
      <c r="E6" t="inlineStr">
        <is>
          <t>d35aba</t>
        </is>
      </c>
      <c r="F6" t="inlineStr">
        <is>
          <t>calstatela.edu_studenthealthcenter</t>
        </is>
      </c>
      <c r="G6" t="inlineStr">
        <is>
          <t>CSULA-content-manager_eop</t>
        </is>
      </c>
      <c r="H6" t="n">
        <v>1</v>
      </c>
      <c r="I6" t="n">
        <v>4</v>
      </c>
      <c r="J6" t="inlineStr">
        <is>
          <t>No</t>
        </is>
      </c>
      <c r="K6" t="n">
        <v>1</v>
      </c>
      <c r="L6" t="inlineStr">
        <is>
          <t>No</t>
        </is>
      </c>
      <c r="M6" t="inlineStr">
        <is>
          <t>Yes</t>
        </is>
      </c>
      <c r="N6" t="n">
        <v>1</v>
      </c>
      <c r="O6" t="inlineStr">
        <is>
          <t>No</t>
        </is>
      </c>
      <c r="P6" t="n">
        <v>0</v>
      </c>
      <c r="R6" t="n">
        <v>0</v>
      </c>
      <c r="S6" t="n">
        <v>0</v>
      </c>
      <c r="T6" t="n">
        <v>4</v>
      </c>
      <c r="U6" t="inlineStr">
        <is>
          <t>Yes</t>
        </is>
      </c>
      <c r="V6" t="inlineStr">
        <is>
          <t>No</t>
        </is>
      </c>
    </row>
    <row r="7">
      <c r="A7" t="inlineStr">
        <is>
          <t>2026 Campus Safety Plan</t>
        </is>
      </c>
      <c r="B7" s="1">
        <f>HYPERLINK("https://www.calstatela.edu/sites/default/files/2026%20Campus%20Safety%20Plan.pdf", "https://www.calstatela.edu/sites/default/files/2026%20Campus%20Safety%20Plan.pdf")</f>
        <v/>
      </c>
      <c r="C7" s="1">
        <f>HYPERLINK("https://www.calstatela.edu/studenthealthcenter/alcohol-and-you", "https://www.calstatela.edu/studenthealthcenter/alcohol-and-you")</f>
        <v/>
      </c>
      <c r="D7" t="inlineStr">
        <is>
          <t>2026-02-05 20:38:53</t>
        </is>
      </c>
      <c r="E7" t="inlineStr">
        <is>
          <t>69529a</t>
        </is>
      </c>
      <c r="F7" t="inlineStr">
        <is>
          <t>calstatela.edu_studenthealthcenter</t>
        </is>
      </c>
      <c r="G7" t="inlineStr">
        <is>
          <t>CSULA-content-manager_eop</t>
        </is>
      </c>
      <c r="H7" t="n">
        <v>1</v>
      </c>
      <c r="I7" t="n">
        <v>2</v>
      </c>
      <c r="J7" t="inlineStr">
        <is>
          <t>No</t>
        </is>
      </c>
      <c r="K7" t="n">
        <v>1</v>
      </c>
      <c r="L7" t="inlineStr">
        <is>
          <t>No</t>
        </is>
      </c>
      <c r="M7" t="inlineStr">
        <is>
          <t>Yes</t>
        </is>
      </c>
      <c r="N7" t="n">
        <v>1</v>
      </c>
      <c r="O7" t="inlineStr">
        <is>
          <t>No</t>
        </is>
      </c>
      <c r="P7" t="n">
        <v>0</v>
      </c>
      <c r="R7" t="n">
        <v>0</v>
      </c>
      <c r="S7" t="n">
        <v>0</v>
      </c>
      <c r="T7" t="n">
        <v>2</v>
      </c>
      <c r="U7" t="inlineStr">
        <is>
          <t>Yes</t>
        </is>
      </c>
      <c r="V7" t="inlineStr">
        <is>
          <t>No</t>
        </is>
      </c>
    </row>
    <row r="8">
      <c r="A8" s="2" t="inlineStr">
        <is>
          <t>resolution support smoke free campus</t>
        </is>
      </c>
      <c r="B8" s="3">
        <f>HYPERLINK("https://asicalstatela.org/sites/default/files/content/upload/2017/05/resolution-support-smoke-free-campus.pdf", "https://asicalstatela.org/sites/default/files/content/upload/2017/05/resolution-support-smoke-free-campus.pdf")</f>
        <v/>
      </c>
      <c r="C8" s="3">
        <f>HYPERLINK("https://www.calstatela.edu/studenthealthcenter/cal-state-la-cannabis-smoke-vape-and-tobacco-free", "https://www.calstatela.edu/studenthealthcenter/cal-state-la-cannabis-smoke-vape-and-tobacco-free")</f>
        <v/>
      </c>
      <c r="D8" s="2" t="inlineStr">
        <is>
          <t>2026-02-05 20:38:53</t>
        </is>
      </c>
      <c r="E8" s="2" t="inlineStr">
        <is>
          <t>2d56fe</t>
        </is>
      </c>
      <c r="F8" s="2" t="inlineStr">
        <is>
          <t>calstatela.edu_studenthealthcenter</t>
        </is>
      </c>
      <c r="G8" s="2" t="inlineStr">
        <is>
          <t>CSULA-content-manager_eop</t>
        </is>
      </c>
      <c r="H8" s="2" t="n">
        <v>1</v>
      </c>
      <c r="I8" s="2" t="n">
        <v>7</v>
      </c>
      <c r="J8" s="2" t="inlineStr">
        <is>
          <t>No</t>
        </is>
      </c>
      <c r="K8" s="2" t="n">
        <v>0</v>
      </c>
      <c r="L8" s="2" t="inlineStr">
        <is>
          <t>No</t>
        </is>
      </c>
      <c r="M8" s="2" t="inlineStr">
        <is>
          <t>Yes</t>
        </is>
      </c>
      <c r="N8" s="2" t="n">
        <v>0</v>
      </c>
      <c r="O8" s="2" t="inlineStr">
        <is>
          <t>No</t>
        </is>
      </c>
      <c r="P8" s="2" t="n">
        <v>0</v>
      </c>
      <c r="Q8" s="2" t="n"/>
      <c r="R8" s="2" t="n">
        <v>0</v>
      </c>
      <c r="S8" s="2" t="n">
        <v>0</v>
      </c>
      <c r="T8" s="2" t="n">
        <v>0</v>
      </c>
      <c r="U8" s="2" t="inlineStr">
        <is>
          <t>No</t>
        </is>
      </c>
      <c r="V8" s="2" t="inlineStr">
        <is>
          <t>No</t>
        </is>
      </c>
    </row>
    <row r="9">
      <c r="A9" t="inlineStr">
        <is>
          <t>teens brochure 2013</t>
        </is>
      </c>
      <c r="B9" s="1">
        <f>HYPERLINK("https://nida.nih.gov/sites/default/files/teens_brochure_2013.pdf", "https://nida.nih.gov/sites/default/files/teens_brochure_2013.pdf")</f>
        <v/>
      </c>
      <c r="C9" s="1">
        <f>HYPERLINK("https://www.calstatela.edu/studenthealthcenter/cal-state-la-cannabis-smoke-vape-and-tobacco-free", "https://www.calstatela.edu/studenthealthcenter/cal-state-la-cannabis-smoke-vape-and-tobacco-free")</f>
        <v/>
      </c>
      <c r="D9" t="inlineStr">
        <is>
          <t>2026-02-05 20:38:46</t>
        </is>
      </c>
      <c r="E9" t="inlineStr">
        <is>
          <t>95f4e7</t>
        </is>
      </c>
      <c r="F9" t="inlineStr">
        <is>
          <t>calstatela.edu_studenthealthcenter</t>
        </is>
      </c>
      <c r="G9" t="inlineStr">
        <is>
          <t>CSULA-content-manager_eop</t>
        </is>
      </c>
      <c r="H9" t="n">
        <v>1</v>
      </c>
      <c r="I9" t="n">
        <v>6</v>
      </c>
      <c r="J9" t="inlineStr">
        <is>
          <t>No</t>
        </is>
      </c>
      <c r="K9" t="n">
        <v>1</v>
      </c>
      <c r="L9" t="inlineStr">
        <is>
          <t>No</t>
        </is>
      </c>
      <c r="M9" t="inlineStr">
        <is>
          <t>No</t>
        </is>
      </c>
      <c r="N9" t="n">
        <v>0</v>
      </c>
      <c r="O9" t="inlineStr">
        <is>
          <t>No</t>
        </is>
      </c>
      <c r="P9" t="n">
        <v>0</v>
      </c>
      <c r="R9" t="n">
        <v>0</v>
      </c>
      <c r="S9" t="n">
        <v>0</v>
      </c>
      <c r="T9" t="n">
        <v>0</v>
      </c>
      <c r="U9" t="inlineStr">
        <is>
          <t>Yes</t>
        </is>
      </c>
      <c r="V9" t="inlineStr">
        <is>
          <t>No</t>
        </is>
      </c>
    </row>
    <row r="10">
      <c r="A10" t="inlineStr">
        <is>
          <t>2025 Annual Security Report</t>
        </is>
      </c>
      <c r="B10" s="1">
        <f>HYPERLINK("https://www.calstatela.edu/sites/default/files/2025%20Annual%20Security%20Report.pdf", "https://www.calstatela.edu/sites/default/files/2025%20Annual%20Security%20Report.pdf")</f>
        <v/>
      </c>
      <c r="C10" s="1">
        <f>HYPERLINK("https://www.calstatela.edu/studenthealthcenter/cal-state-la-cannabis-smoke-vape-and-tobacco-free", "https://www.calstatela.edu/studenthealthcenter/cal-state-la-cannabis-smoke-vape-and-tobacco-free")</f>
        <v/>
      </c>
      <c r="D10" t="inlineStr">
        <is>
          <t>2026-02-05 20:38:53</t>
        </is>
      </c>
      <c r="E10" t="inlineStr">
        <is>
          <t>d35aba</t>
        </is>
      </c>
      <c r="F10" t="inlineStr">
        <is>
          <t>calstatela.edu_studenthealthcenter</t>
        </is>
      </c>
      <c r="G10" t="inlineStr">
        <is>
          <t>CSULA-content-manager_eop</t>
        </is>
      </c>
      <c r="H10" t="n">
        <v>1</v>
      </c>
      <c r="I10" t="n">
        <v>4</v>
      </c>
      <c r="J10" t="inlineStr">
        <is>
          <t>No</t>
        </is>
      </c>
      <c r="K10" t="n">
        <v>1</v>
      </c>
      <c r="L10" t="inlineStr">
        <is>
          <t>No</t>
        </is>
      </c>
      <c r="M10" t="inlineStr">
        <is>
          <t>Yes</t>
        </is>
      </c>
      <c r="N10" t="n">
        <v>1</v>
      </c>
      <c r="O10" t="inlineStr">
        <is>
          <t>No</t>
        </is>
      </c>
      <c r="P10" t="n">
        <v>0</v>
      </c>
      <c r="R10" t="n">
        <v>0</v>
      </c>
      <c r="S10" t="n">
        <v>0</v>
      </c>
      <c r="T10" t="n">
        <v>4</v>
      </c>
      <c r="U10" t="inlineStr">
        <is>
          <t>Yes</t>
        </is>
      </c>
      <c r="V10" t="inlineStr">
        <is>
          <t>No</t>
        </is>
      </c>
    </row>
    <row r="11">
      <c r="A11" t="inlineStr">
        <is>
          <t>2026 Campus Safety Plan</t>
        </is>
      </c>
      <c r="B11" s="1">
        <f>HYPERLINK("https://www.calstatela.edu/sites/default/files/2026%20Campus%20Safety%20Plan.pdf", "https://www.calstatela.edu/sites/default/files/2026%20Campus%20Safety%20Plan.pdf")</f>
        <v/>
      </c>
      <c r="C11" s="1">
        <f>HYPERLINK("https://www.calstatela.edu/studenthealthcenter/cal-state-la-cannabis-smoke-vape-and-tobacco-free", "https://www.calstatela.edu/studenthealthcenter/cal-state-la-cannabis-smoke-vape-and-tobacco-free")</f>
        <v/>
      </c>
      <c r="D11" t="inlineStr">
        <is>
          <t>2026-02-05 20:38:53</t>
        </is>
      </c>
      <c r="E11" t="inlineStr">
        <is>
          <t>69529a</t>
        </is>
      </c>
      <c r="F11" t="inlineStr">
        <is>
          <t>calstatela.edu_studenthealthcenter</t>
        </is>
      </c>
      <c r="G11" t="inlineStr">
        <is>
          <t>CSULA-content-manager_eop</t>
        </is>
      </c>
      <c r="H11" t="n">
        <v>1</v>
      </c>
      <c r="I11" t="n">
        <v>2</v>
      </c>
      <c r="J11" t="inlineStr">
        <is>
          <t>No</t>
        </is>
      </c>
      <c r="K11" t="n">
        <v>1</v>
      </c>
      <c r="L11" t="inlineStr">
        <is>
          <t>No</t>
        </is>
      </c>
      <c r="M11" t="inlineStr">
        <is>
          <t>Yes</t>
        </is>
      </c>
      <c r="N11" t="n">
        <v>1</v>
      </c>
      <c r="O11" t="inlineStr">
        <is>
          <t>No</t>
        </is>
      </c>
      <c r="P11" t="n">
        <v>0</v>
      </c>
      <c r="R11" t="n">
        <v>0</v>
      </c>
      <c r="S11" t="n">
        <v>0</v>
      </c>
      <c r="T11" t="n">
        <v>2</v>
      </c>
      <c r="U11" t="inlineStr">
        <is>
          <t>Yes</t>
        </is>
      </c>
      <c r="V11" t="inlineStr">
        <is>
          <t>No</t>
        </is>
      </c>
    </row>
    <row r="12">
      <c r="A12" s="2" t="inlineStr">
        <is>
          <t>drug free campus policy</t>
        </is>
      </c>
      <c r="B12" s="3">
        <f>HYPERLINK("https://www.calstatela.edu/sites/default/files/drug-free_campus_policy.pdf", "https://www.calstatela.edu/sites/default/files/drug-free_campus_policy.pdf")</f>
        <v/>
      </c>
      <c r="C12" s="3">
        <f>HYPERLINK("https://www.calstatela.edu/studenthealthcenter/cal-state-la-cannabis-smoke-vape-and-tobacco-free", "https://www.calstatela.edu/studenthealthcenter/cal-state-la-cannabis-smoke-vape-and-tobacco-free")</f>
        <v/>
      </c>
      <c r="D12" s="2" t="inlineStr">
        <is>
          <t>2026-02-05 20:38:35</t>
        </is>
      </c>
      <c r="E12" s="2" t="inlineStr">
        <is>
          <t>8cc8c5</t>
        </is>
      </c>
      <c r="F12" s="2" t="inlineStr">
        <is>
          <t>calstatela.edu_studenthealthcenter</t>
        </is>
      </c>
      <c r="G12" s="2" t="inlineStr">
        <is>
          <t>CSULA-content-manager_eop</t>
        </is>
      </c>
      <c r="H12" s="2" t="n">
        <v>1</v>
      </c>
      <c r="I12" s="2" t="n">
        <v>6</v>
      </c>
      <c r="J12" s="2" t="inlineStr">
        <is>
          <t>No</t>
        </is>
      </c>
      <c r="K12" s="2" t="n">
        <v>0</v>
      </c>
      <c r="L12" s="2" t="inlineStr">
        <is>
          <t>No</t>
        </is>
      </c>
      <c r="M12" s="2" t="inlineStr">
        <is>
          <t>No</t>
        </is>
      </c>
      <c r="N12" s="2" t="n">
        <v>0</v>
      </c>
      <c r="O12" s="2" t="inlineStr">
        <is>
          <t>Yes</t>
        </is>
      </c>
      <c r="P12" s="2" t="n">
        <v>0</v>
      </c>
      <c r="Q12" s="2" t="n"/>
      <c r="R12" s="2" t="n">
        <v>0</v>
      </c>
      <c r="S12" s="2" t="n">
        <v>0</v>
      </c>
      <c r="T12" s="2" t="n">
        <v>0</v>
      </c>
      <c r="U12" s="2" t="inlineStr">
        <is>
          <t>No</t>
        </is>
      </c>
      <c r="V12" s="2" t="inlineStr">
        <is>
          <t>No</t>
        </is>
      </c>
    </row>
    <row r="13">
      <c r="A13" s="2" t="inlineStr">
        <is>
          <t>p001</t>
        </is>
      </c>
      <c r="B13" s="3">
        <f>HYPERLINK("https://www.calstatela.edu/sites/default/files/p001.pdf", "https://www.calstatela.edu/sites/default/files/p001.pdf")</f>
        <v/>
      </c>
      <c r="C13" s="3">
        <f>HYPERLINK("https://www.calstatela.edu/studenthealthcenter/cal-state-la-cannabis-smoke-vape-and-tobacco-free", "https://www.calstatela.edu/studenthealthcenter/cal-state-la-cannabis-smoke-vape-and-tobacco-free")</f>
        <v/>
      </c>
      <c r="D13" s="2" t="inlineStr">
        <is>
          <t>2026-02-05 20:38:28</t>
        </is>
      </c>
      <c r="E13" s="2" t="inlineStr">
        <is>
          <t>aca57e</t>
        </is>
      </c>
      <c r="F13" s="2" t="inlineStr">
        <is>
          <t>calstatela.edu_studenthealthcenter</t>
        </is>
      </c>
      <c r="G13" s="2" t="inlineStr">
        <is>
          <t>CSULA-content-manager_eop</t>
        </is>
      </c>
      <c r="H13" s="2" t="n">
        <v>1</v>
      </c>
      <c r="I13" s="2" t="n">
        <v>9</v>
      </c>
      <c r="J13" s="2" t="inlineStr">
        <is>
          <t>No</t>
        </is>
      </c>
      <c r="K13" s="2" t="n">
        <v>1</v>
      </c>
      <c r="L13" s="2" t="inlineStr">
        <is>
          <t>No</t>
        </is>
      </c>
      <c r="M13" s="2" t="inlineStr">
        <is>
          <t>Yes</t>
        </is>
      </c>
      <c r="N13" s="2" t="n">
        <v>1</v>
      </c>
      <c r="O13" s="2" t="inlineStr">
        <is>
          <t>No</t>
        </is>
      </c>
      <c r="P13" s="2" t="n">
        <v>0</v>
      </c>
      <c r="Q13" s="2" t="n"/>
      <c r="R13" s="2" t="n">
        <v>0</v>
      </c>
      <c r="S13" s="2" t="n">
        <v>0</v>
      </c>
      <c r="T13" s="2" t="n">
        <v>9</v>
      </c>
      <c r="U13" s="2" t="inlineStr">
        <is>
          <t>No</t>
        </is>
      </c>
      <c r="V13" s="2" t="inlineStr">
        <is>
          <t>No</t>
        </is>
      </c>
    </row>
    <row r="14">
      <c r="A14" t="inlineStr">
        <is>
          <t>2025 Annual Security Report</t>
        </is>
      </c>
      <c r="B14" s="1">
        <f>HYPERLINK("https://www.calstatela.edu/sites/default/files/2025%20Annual%20Security%20Report.pdf", "https://www.calstatela.edu/sites/default/files/2025%20Annual%20Security%20Report.pdf")</f>
        <v/>
      </c>
      <c r="C14" s="1">
        <f>HYPERLINK("https://www.calstatela.edu/studenthealthcenter/caps", "https://www.calstatela.edu/studenthealthcenter/caps")</f>
        <v/>
      </c>
      <c r="D14" t="inlineStr">
        <is>
          <t>2026-02-05 20:39:02</t>
        </is>
      </c>
      <c r="E14" t="inlineStr">
        <is>
          <t>d35aba</t>
        </is>
      </c>
      <c r="F14" t="inlineStr">
        <is>
          <t>calstatela.edu_studenthealthcenter</t>
        </is>
      </c>
      <c r="G14" t="inlineStr">
        <is>
          <t>CSULA-content-manager_eop</t>
        </is>
      </c>
      <c r="H14" t="n">
        <v>1</v>
      </c>
      <c r="I14" t="n">
        <v>4</v>
      </c>
      <c r="J14" t="inlineStr">
        <is>
          <t>No</t>
        </is>
      </c>
      <c r="K14" t="n">
        <v>1</v>
      </c>
      <c r="L14" t="inlineStr">
        <is>
          <t>No</t>
        </is>
      </c>
      <c r="M14" t="inlineStr">
        <is>
          <t>Yes</t>
        </is>
      </c>
      <c r="N14" t="n">
        <v>1</v>
      </c>
      <c r="O14" t="inlineStr">
        <is>
          <t>No</t>
        </is>
      </c>
      <c r="P14" t="n">
        <v>0</v>
      </c>
      <c r="R14" t="n">
        <v>0</v>
      </c>
      <c r="S14" t="n">
        <v>0</v>
      </c>
      <c r="T14" t="n">
        <v>4</v>
      </c>
      <c r="U14" t="inlineStr">
        <is>
          <t>Yes</t>
        </is>
      </c>
      <c r="V14" t="inlineStr">
        <is>
          <t>No</t>
        </is>
      </c>
    </row>
    <row r="15">
      <c r="A15" t="inlineStr">
        <is>
          <t>2026 Campus Safety Plan</t>
        </is>
      </c>
      <c r="B15" s="1">
        <f>HYPERLINK("https://www.calstatela.edu/sites/default/files/2026%20Campus%20Safety%20Plan.pdf", "https://www.calstatela.edu/sites/default/files/2026%20Campus%20Safety%20Plan.pdf")</f>
        <v/>
      </c>
      <c r="C15" s="1">
        <f>HYPERLINK("https://www.calstatela.edu/studenthealthcenter/caps", "https://www.calstatela.edu/studenthealthcenter/caps")</f>
        <v/>
      </c>
      <c r="D15" t="inlineStr">
        <is>
          <t>2026-02-05 20:39:02</t>
        </is>
      </c>
      <c r="E15" t="inlineStr">
        <is>
          <t>69529a</t>
        </is>
      </c>
      <c r="F15" t="inlineStr">
        <is>
          <t>calstatela.edu_studenthealthcenter</t>
        </is>
      </c>
      <c r="G15" t="inlineStr">
        <is>
          <t>CSULA-content-manager_eop</t>
        </is>
      </c>
      <c r="H15" t="n">
        <v>1</v>
      </c>
      <c r="I15" t="n">
        <v>2</v>
      </c>
      <c r="J15" t="inlineStr">
        <is>
          <t>No</t>
        </is>
      </c>
      <c r="K15" t="n">
        <v>1</v>
      </c>
      <c r="L15" t="inlineStr">
        <is>
          <t>No</t>
        </is>
      </c>
      <c r="M15" t="inlineStr">
        <is>
          <t>Yes</t>
        </is>
      </c>
      <c r="N15" t="n">
        <v>1</v>
      </c>
      <c r="O15" t="inlineStr">
        <is>
          <t>No</t>
        </is>
      </c>
      <c r="P15" t="n">
        <v>0</v>
      </c>
      <c r="R15" t="n">
        <v>0</v>
      </c>
      <c r="S15" t="n">
        <v>0</v>
      </c>
      <c r="T15" t="n">
        <v>2</v>
      </c>
      <c r="U15" t="inlineStr">
        <is>
          <t>Yes</t>
        </is>
      </c>
      <c r="V15" t="inlineStr">
        <is>
          <t>No</t>
        </is>
      </c>
    </row>
    <row r="16">
      <c r="A16" t="inlineStr">
        <is>
          <t>2025 Annual Security Report</t>
        </is>
      </c>
      <c r="B16" s="1">
        <f>HYPERLINK("https://www.calstatela.edu/sites/default/files/2025%20Annual%20Security%20Report.pdf", "https://www.calstatela.edu/sites/default/files/2025%20Annual%20Security%20Report.pdf")</f>
        <v/>
      </c>
      <c r="C16" s="1">
        <f>HYPERLINK("https://www.calstatela.edu/studenthealthcenter/caps/caps-services", "https://www.calstatela.edu/studenthealthcenter/caps/caps-services")</f>
        <v/>
      </c>
      <c r="D16" t="inlineStr">
        <is>
          <t>2026-02-05 20:39:09</t>
        </is>
      </c>
      <c r="E16" t="inlineStr">
        <is>
          <t>d35aba</t>
        </is>
      </c>
      <c r="F16" t="inlineStr">
        <is>
          <t>calstatela.edu_studenthealthcenter</t>
        </is>
      </c>
      <c r="G16" t="inlineStr">
        <is>
          <t>CSULA-content-manager_eop</t>
        </is>
      </c>
      <c r="H16" t="n">
        <v>1</v>
      </c>
      <c r="I16" t="n">
        <v>4</v>
      </c>
      <c r="J16" t="inlineStr">
        <is>
          <t>No</t>
        </is>
      </c>
      <c r="K16" t="n">
        <v>1</v>
      </c>
      <c r="L16" t="inlineStr">
        <is>
          <t>No</t>
        </is>
      </c>
      <c r="M16" t="inlineStr">
        <is>
          <t>Yes</t>
        </is>
      </c>
      <c r="N16" t="n">
        <v>1</v>
      </c>
      <c r="O16" t="inlineStr">
        <is>
          <t>No</t>
        </is>
      </c>
      <c r="P16" t="n">
        <v>0</v>
      </c>
      <c r="R16" t="n">
        <v>0</v>
      </c>
      <c r="S16" t="n">
        <v>0</v>
      </c>
      <c r="T16" t="n">
        <v>4</v>
      </c>
      <c r="U16" t="inlineStr">
        <is>
          <t>Yes</t>
        </is>
      </c>
      <c r="V16" t="inlineStr">
        <is>
          <t>No</t>
        </is>
      </c>
    </row>
    <row r="17">
      <c r="A17" t="inlineStr">
        <is>
          <t>2026 Campus Safety Plan</t>
        </is>
      </c>
      <c r="B17" s="1">
        <f>HYPERLINK("https://www.calstatela.edu/sites/default/files/2026%20Campus%20Safety%20Plan.pdf", "https://www.calstatela.edu/sites/default/files/2026%20Campus%20Safety%20Plan.pdf")</f>
        <v/>
      </c>
      <c r="C17" s="1">
        <f>HYPERLINK("https://www.calstatela.edu/studenthealthcenter/caps/caps-services", "https://www.calstatela.edu/studenthealthcenter/caps/caps-services")</f>
        <v/>
      </c>
      <c r="D17" t="inlineStr">
        <is>
          <t>2026-02-05 20:39:09</t>
        </is>
      </c>
      <c r="E17" t="inlineStr">
        <is>
          <t>69529a</t>
        </is>
      </c>
      <c r="F17" t="inlineStr">
        <is>
          <t>calstatela.edu_studenthealthcenter</t>
        </is>
      </c>
      <c r="G17" t="inlineStr">
        <is>
          <t>CSULA-content-manager_eop</t>
        </is>
      </c>
      <c r="H17" t="n">
        <v>1</v>
      </c>
      <c r="I17" t="n">
        <v>2</v>
      </c>
      <c r="J17" t="inlineStr">
        <is>
          <t>No</t>
        </is>
      </c>
      <c r="K17" t="n">
        <v>1</v>
      </c>
      <c r="L17" t="inlineStr">
        <is>
          <t>No</t>
        </is>
      </c>
      <c r="M17" t="inlineStr">
        <is>
          <t>Yes</t>
        </is>
      </c>
      <c r="N17" t="n">
        <v>1</v>
      </c>
      <c r="O17" t="inlineStr">
        <is>
          <t>No</t>
        </is>
      </c>
      <c r="P17" t="n">
        <v>0</v>
      </c>
      <c r="R17" t="n">
        <v>0</v>
      </c>
      <c r="S17" t="n">
        <v>0</v>
      </c>
      <c r="T17" t="n">
        <v>2</v>
      </c>
      <c r="U17" t="inlineStr">
        <is>
          <t>Yes</t>
        </is>
      </c>
      <c r="V17" t="inlineStr">
        <is>
          <t>No</t>
        </is>
      </c>
    </row>
    <row r="18">
      <c r="A18" t="inlineStr">
        <is>
          <t>2025 Annual Security Report</t>
        </is>
      </c>
      <c r="B18" s="1">
        <f>HYPERLINK("https://www.calstatela.edu/sites/default/files/2025%20Annual%20Security%20Report.pdf", "https://www.calstatela.edu/sites/default/files/2025%20Annual%20Security%20Report.pdf")</f>
        <v/>
      </c>
      <c r="C18" s="1">
        <f>HYPERLINK("https://www.calstatela.edu/studenthealthcenter/caps/concerned-about-student", "https://www.calstatela.edu/studenthealthcenter/caps/concerned-about-student")</f>
        <v/>
      </c>
      <c r="D18" t="inlineStr">
        <is>
          <t>2026-02-05 20:39:09</t>
        </is>
      </c>
      <c r="E18" t="inlineStr">
        <is>
          <t>d35aba</t>
        </is>
      </c>
      <c r="F18" t="inlineStr">
        <is>
          <t>calstatela.edu_studenthealthcenter</t>
        </is>
      </c>
      <c r="G18" t="inlineStr">
        <is>
          <t>CSULA-content-manager_eop</t>
        </is>
      </c>
      <c r="H18" t="n">
        <v>1</v>
      </c>
      <c r="I18" t="n">
        <v>4</v>
      </c>
      <c r="J18" t="inlineStr">
        <is>
          <t>No</t>
        </is>
      </c>
      <c r="K18" t="n">
        <v>1</v>
      </c>
      <c r="L18" t="inlineStr">
        <is>
          <t>No</t>
        </is>
      </c>
      <c r="M18" t="inlineStr">
        <is>
          <t>Yes</t>
        </is>
      </c>
      <c r="N18" t="n">
        <v>1</v>
      </c>
      <c r="O18" t="inlineStr">
        <is>
          <t>No</t>
        </is>
      </c>
      <c r="P18" t="n">
        <v>0</v>
      </c>
      <c r="R18" t="n">
        <v>0</v>
      </c>
      <c r="S18" t="n">
        <v>0</v>
      </c>
      <c r="T18" t="n">
        <v>4</v>
      </c>
      <c r="U18" t="inlineStr">
        <is>
          <t>Yes</t>
        </is>
      </c>
      <c r="V18" t="inlineStr">
        <is>
          <t>No</t>
        </is>
      </c>
    </row>
    <row r="19">
      <c r="A19" t="inlineStr">
        <is>
          <t>2026 Campus Safety Plan</t>
        </is>
      </c>
      <c r="B19" s="1">
        <f>HYPERLINK("https://www.calstatela.edu/sites/default/files/2026%20Campus%20Safety%20Plan.pdf", "https://www.calstatela.edu/sites/default/files/2026%20Campus%20Safety%20Plan.pdf")</f>
        <v/>
      </c>
      <c r="C19" s="1">
        <f>HYPERLINK("https://www.calstatela.edu/studenthealthcenter/caps/concerned-about-student", "https://www.calstatela.edu/studenthealthcenter/caps/concerned-about-student")</f>
        <v/>
      </c>
      <c r="D19" t="inlineStr">
        <is>
          <t>2026-02-05 20:39:09</t>
        </is>
      </c>
      <c r="E19" t="inlineStr">
        <is>
          <t>69529a</t>
        </is>
      </c>
      <c r="F19" t="inlineStr">
        <is>
          <t>calstatela.edu_studenthealthcenter</t>
        </is>
      </c>
      <c r="G19" t="inlineStr">
        <is>
          <t>CSULA-content-manager_eop</t>
        </is>
      </c>
      <c r="H19" t="n">
        <v>1</v>
      </c>
      <c r="I19" t="n">
        <v>2</v>
      </c>
      <c r="J19" t="inlineStr">
        <is>
          <t>No</t>
        </is>
      </c>
      <c r="K19" t="n">
        <v>1</v>
      </c>
      <c r="L19" t="inlineStr">
        <is>
          <t>No</t>
        </is>
      </c>
      <c r="M19" t="inlineStr">
        <is>
          <t>Yes</t>
        </is>
      </c>
      <c r="N19" t="n">
        <v>1</v>
      </c>
      <c r="O19" t="inlineStr">
        <is>
          <t>No</t>
        </is>
      </c>
      <c r="P19" t="n">
        <v>0</v>
      </c>
      <c r="R19" t="n">
        <v>0</v>
      </c>
      <c r="S19" t="n">
        <v>0</v>
      </c>
      <c r="T19" t="n">
        <v>2</v>
      </c>
      <c r="U19" t="inlineStr">
        <is>
          <t>Yes</t>
        </is>
      </c>
      <c r="V19" t="inlineStr">
        <is>
          <t>No</t>
        </is>
      </c>
    </row>
    <row r="20">
      <c r="A20" t="inlineStr">
        <is>
          <t>2025 Annual Security Report</t>
        </is>
      </c>
      <c r="B20" s="1">
        <f>HYPERLINK("https://www.calstatela.edu/sites/default/files/2025%20Annual%20Security%20Report.pdf", "https://www.calstatela.edu/sites/default/files/2025%20Annual%20Security%20Report.pdf")</f>
        <v/>
      </c>
      <c r="C20" s="1">
        <f>HYPERLINK("https://www.calstatela.edu/studenthealthcenter/caps/eligibility-caps-services", "https://www.calstatela.edu/studenthealthcenter/caps/eligibility-caps-services")</f>
        <v/>
      </c>
      <c r="D20" t="inlineStr">
        <is>
          <t>2026-02-05 20:39:09</t>
        </is>
      </c>
      <c r="E20" t="inlineStr">
        <is>
          <t>d35aba</t>
        </is>
      </c>
      <c r="F20" t="inlineStr">
        <is>
          <t>calstatela.edu_studenthealthcenter</t>
        </is>
      </c>
      <c r="G20" t="inlineStr">
        <is>
          <t>CSULA-content-manager_eop</t>
        </is>
      </c>
      <c r="H20" t="n">
        <v>1</v>
      </c>
      <c r="I20" t="n">
        <v>4</v>
      </c>
      <c r="J20" t="inlineStr">
        <is>
          <t>No</t>
        </is>
      </c>
      <c r="K20" t="n">
        <v>1</v>
      </c>
      <c r="L20" t="inlineStr">
        <is>
          <t>No</t>
        </is>
      </c>
      <c r="M20" t="inlineStr">
        <is>
          <t>Yes</t>
        </is>
      </c>
      <c r="N20" t="n">
        <v>1</v>
      </c>
      <c r="O20" t="inlineStr">
        <is>
          <t>No</t>
        </is>
      </c>
      <c r="P20" t="n">
        <v>0</v>
      </c>
      <c r="R20" t="n">
        <v>0</v>
      </c>
      <c r="S20" t="n">
        <v>0</v>
      </c>
      <c r="T20" t="n">
        <v>4</v>
      </c>
      <c r="U20" t="inlineStr">
        <is>
          <t>Yes</t>
        </is>
      </c>
      <c r="V20" t="inlineStr">
        <is>
          <t>No</t>
        </is>
      </c>
    </row>
    <row r="21">
      <c r="A21" t="inlineStr">
        <is>
          <t>2026 Campus Safety Plan</t>
        </is>
      </c>
      <c r="B21" s="1">
        <f>HYPERLINK("https://www.calstatela.edu/sites/default/files/2026%20Campus%20Safety%20Plan.pdf", "https://www.calstatela.edu/sites/default/files/2026%20Campus%20Safety%20Plan.pdf")</f>
        <v/>
      </c>
      <c r="C21" s="1">
        <f>HYPERLINK("https://www.calstatela.edu/studenthealthcenter/caps/eligibility-caps-services", "https://www.calstatela.edu/studenthealthcenter/caps/eligibility-caps-services")</f>
        <v/>
      </c>
      <c r="D21" t="inlineStr">
        <is>
          <t>2026-02-05 20:39:09</t>
        </is>
      </c>
      <c r="E21" t="inlineStr">
        <is>
          <t>69529a</t>
        </is>
      </c>
      <c r="F21" t="inlineStr">
        <is>
          <t>calstatela.edu_studenthealthcenter</t>
        </is>
      </c>
      <c r="G21" t="inlineStr">
        <is>
          <t>CSULA-content-manager_eop</t>
        </is>
      </c>
      <c r="H21" t="n">
        <v>1</v>
      </c>
      <c r="I21" t="n">
        <v>2</v>
      </c>
      <c r="J21" t="inlineStr">
        <is>
          <t>No</t>
        </is>
      </c>
      <c r="K21" t="n">
        <v>1</v>
      </c>
      <c r="L21" t="inlineStr">
        <is>
          <t>No</t>
        </is>
      </c>
      <c r="M21" t="inlineStr">
        <is>
          <t>Yes</t>
        </is>
      </c>
      <c r="N21" t="n">
        <v>1</v>
      </c>
      <c r="O21" t="inlineStr">
        <is>
          <t>No</t>
        </is>
      </c>
      <c r="P21" t="n">
        <v>0</v>
      </c>
      <c r="R21" t="n">
        <v>0</v>
      </c>
      <c r="S21" t="n">
        <v>0</v>
      </c>
      <c r="T21" t="n">
        <v>2</v>
      </c>
      <c r="U21" t="inlineStr">
        <is>
          <t>Yes</t>
        </is>
      </c>
      <c r="V21" t="inlineStr">
        <is>
          <t>No</t>
        </is>
      </c>
    </row>
    <row r="22">
      <c r="A22" t="inlineStr">
        <is>
          <t>2025 Annual Security Report</t>
        </is>
      </c>
      <c r="B22" s="1">
        <f>HYPERLINK("https://www.calstatela.edu/sites/default/files/2025%20Annual%20Security%20Report.pdf", "https://www.calstatela.edu/sites/default/files/2025%20Annual%20Security%20Report.pdf")</f>
        <v/>
      </c>
      <c r="C22" s="1">
        <f>HYPERLINK("https://www.calstatela.edu/studenthealthcenter/caps/emergencies-after-hours", "https://www.calstatela.edu/studenthealthcenter/caps/emergencies-after-hours")</f>
        <v/>
      </c>
      <c r="D22" t="inlineStr">
        <is>
          <t>2026-02-05 20:39:09</t>
        </is>
      </c>
      <c r="E22" t="inlineStr">
        <is>
          <t>d35aba</t>
        </is>
      </c>
      <c r="F22" t="inlineStr">
        <is>
          <t>calstatela.edu_studenthealthcenter</t>
        </is>
      </c>
      <c r="G22" t="inlineStr">
        <is>
          <t>CSULA-content-manager_eop</t>
        </is>
      </c>
      <c r="H22" t="n">
        <v>1</v>
      </c>
      <c r="I22" t="n">
        <v>4</v>
      </c>
      <c r="J22" t="inlineStr">
        <is>
          <t>No</t>
        </is>
      </c>
      <c r="K22" t="n">
        <v>1</v>
      </c>
      <c r="L22" t="inlineStr">
        <is>
          <t>No</t>
        </is>
      </c>
      <c r="M22" t="inlineStr">
        <is>
          <t>Yes</t>
        </is>
      </c>
      <c r="N22" t="n">
        <v>1</v>
      </c>
      <c r="O22" t="inlineStr">
        <is>
          <t>No</t>
        </is>
      </c>
      <c r="P22" t="n">
        <v>0</v>
      </c>
      <c r="R22" t="n">
        <v>0</v>
      </c>
      <c r="S22" t="n">
        <v>0</v>
      </c>
      <c r="T22" t="n">
        <v>4</v>
      </c>
      <c r="U22" t="inlineStr">
        <is>
          <t>Yes</t>
        </is>
      </c>
      <c r="V22" t="inlineStr">
        <is>
          <t>No</t>
        </is>
      </c>
    </row>
    <row r="23">
      <c r="A23" t="inlineStr">
        <is>
          <t>2026 Campus Safety Plan</t>
        </is>
      </c>
      <c r="B23" s="1">
        <f>HYPERLINK("https://www.calstatela.edu/sites/default/files/2026%20Campus%20Safety%20Plan.pdf", "https://www.calstatela.edu/sites/default/files/2026%20Campus%20Safety%20Plan.pdf")</f>
        <v/>
      </c>
      <c r="C23" s="1">
        <f>HYPERLINK("https://www.calstatela.edu/studenthealthcenter/caps/emergencies-after-hours", "https://www.calstatela.edu/studenthealthcenter/caps/emergencies-after-hours")</f>
        <v/>
      </c>
      <c r="D23" t="inlineStr">
        <is>
          <t>2026-02-05 20:39:09</t>
        </is>
      </c>
      <c r="E23" t="inlineStr">
        <is>
          <t>69529a</t>
        </is>
      </c>
      <c r="F23" t="inlineStr">
        <is>
          <t>calstatela.edu_studenthealthcenter</t>
        </is>
      </c>
      <c r="G23" t="inlineStr">
        <is>
          <t>CSULA-content-manager_eop</t>
        </is>
      </c>
      <c r="H23" t="n">
        <v>1</v>
      </c>
      <c r="I23" t="n">
        <v>2</v>
      </c>
      <c r="J23" t="inlineStr">
        <is>
          <t>No</t>
        </is>
      </c>
      <c r="K23" t="n">
        <v>1</v>
      </c>
      <c r="L23" t="inlineStr">
        <is>
          <t>No</t>
        </is>
      </c>
      <c r="M23" t="inlineStr">
        <is>
          <t>Yes</t>
        </is>
      </c>
      <c r="N23" t="n">
        <v>1</v>
      </c>
      <c r="O23" t="inlineStr">
        <is>
          <t>No</t>
        </is>
      </c>
      <c r="P23" t="n">
        <v>0</v>
      </c>
      <c r="R23" t="n">
        <v>0</v>
      </c>
      <c r="S23" t="n">
        <v>0</v>
      </c>
      <c r="T23" t="n">
        <v>2</v>
      </c>
      <c r="U23" t="inlineStr">
        <is>
          <t>Yes</t>
        </is>
      </c>
      <c r="V23" t="inlineStr">
        <is>
          <t>No</t>
        </is>
      </c>
    </row>
    <row r="24">
      <c r="A24" t="inlineStr">
        <is>
          <t>2025 Annual Security Report</t>
        </is>
      </c>
      <c r="B24" s="1">
        <f>HYPERLINK("https://www.calstatela.edu/sites/default/files/2025%20Annual%20Security%20Report.pdf", "https://www.calstatela.edu/sites/default/files/2025%20Annual%20Security%20Report.pdf")</f>
        <v/>
      </c>
      <c r="C24" s="1">
        <f>HYPERLINK("https://www.calstatela.edu/studenthealthcenter/caps/make-appointment", "https://www.calstatela.edu/studenthealthcenter/caps/make-appointment")</f>
        <v/>
      </c>
      <c r="D24" t="inlineStr">
        <is>
          <t>2026-02-05 20:39:09</t>
        </is>
      </c>
      <c r="E24" t="inlineStr">
        <is>
          <t>d35aba</t>
        </is>
      </c>
      <c r="F24" t="inlineStr">
        <is>
          <t>calstatela.edu_studenthealthcenter</t>
        </is>
      </c>
      <c r="G24" t="inlineStr">
        <is>
          <t>CSULA-content-manager_eop</t>
        </is>
      </c>
      <c r="H24" t="n">
        <v>1</v>
      </c>
      <c r="I24" t="n">
        <v>4</v>
      </c>
      <c r="J24" t="inlineStr">
        <is>
          <t>No</t>
        </is>
      </c>
      <c r="K24" t="n">
        <v>1</v>
      </c>
      <c r="L24" t="inlineStr">
        <is>
          <t>No</t>
        </is>
      </c>
      <c r="M24" t="inlineStr">
        <is>
          <t>Yes</t>
        </is>
      </c>
      <c r="N24" t="n">
        <v>1</v>
      </c>
      <c r="O24" t="inlineStr">
        <is>
          <t>No</t>
        </is>
      </c>
      <c r="P24" t="n">
        <v>0</v>
      </c>
      <c r="R24" t="n">
        <v>0</v>
      </c>
      <c r="S24" t="n">
        <v>0</v>
      </c>
      <c r="T24" t="n">
        <v>4</v>
      </c>
      <c r="U24" t="inlineStr">
        <is>
          <t>Yes</t>
        </is>
      </c>
      <c r="V24" t="inlineStr">
        <is>
          <t>No</t>
        </is>
      </c>
    </row>
    <row r="25">
      <c r="A25" t="inlineStr">
        <is>
          <t>2026 Campus Safety Plan</t>
        </is>
      </c>
      <c r="B25" s="1">
        <f>HYPERLINK("https://www.calstatela.edu/sites/default/files/2026%20Campus%20Safety%20Plan.pdf", "https://www.calstatela.edu/sites/default/files/2026%20Campus%20Safety%20Plan.pdf")</f>
        <v/>
      </c>
      <c r="C25" s="1">
        <f>HYPERLINK("https://www.calstatela.edu/studenthealthcenter/caps/make-appointment", "https://www.calstatela.edu/studenthealthcenter/caps/make-appointment")</f>
        <v/>
      </c>
      <c r="D25" t="inlineStr">
        <is>
          <t>2026-02-05 20:39:09</t>
        </is>
      </c>
      <c r="E25" t="inlineStr">
        <is>
          <t>69529a</t>
        </is>
      </c>
      <c r="F25" t="inlineStr">
        <is>
          <t>calstatela.edu_studenthealthcenter</t>
        </is>
      </c>
      <c r="G25" t="inlineStr">
        <is>
          <t>CSULA-content-manager_eop</t>
        </is>
      </c>
      <c r="H25" t="n">
        <v>1</v>
      </c>
      <c r="I25" t="n">
        <v>2</v>
      </c>
      <c r="J25" t="inlineStr">
        <is>
          <t>No</t>
        </is>
      </c>
      <c r="K25" t="n">
        <v>1</v>
      </c>
      <c r="L25" t="inlineStr">
        <is>
          <t>No</t>
        </is>
      </c>
      <c r="M25" t="inlineStr">
        <is>
          <t>Yes</t>
        </is>
      </c>
      <c r="N25" t="n">
        <v>1</v>
      </c>
      <c r="O25" t="inlineStr">
        <is>
          <t>No</t>
        </is>
      </c>
      <c r="P25" t="n">
        <v>0</v>
      </c>
      <c r="R25" t="n">
        <v>0</v>
      </c>
      <c r="S25" t="n">
        <v>0</v>
      </c>
      <c r="T25" t="n">
        <v>2</v>
      </c>
      <c r="U25" t="inlineStr">
        <is>
          <t>Yes</t>
        </is>
      </c>
      <c r="V25" t="inlineStr">
        <is>
          <t>No</t>
        </is>
      </c>
    </row>
    <row r="26">
      <c r="A26" t="inlineStr">
        <is>
          <t>2025 Annual Security Report</t>
        </is>
      </c>
      <c r="B26" s="1">
        <f>HYPERLINK("https://www.calstatela.edu/sites/default/files/2025%20Annual%20Security%20Report.pdf", "https://www.calstatela.edu/sites/default/files/2025%20Annual%20Security%20Report.pdf")</f>
        <v/>
      </c>
      <c r="C26" s="1">
        <f>HYPERLINK("https://www.calstatela.edu/studenthealthcenter/caps/meet-team", "https://www.calstatela.edu/studenthealthcenter/caps/meet-team")</f>
        <v/>
      </c>
      <c r="D26" t="inlineStr">
        <is>
          <t>2026-02-05 20:39:09</t>
        </is>
      </c>
      <c r="E26" t="inlineStr">
        <is>
          <t>d35aba</t>
        </is>
      </c>
      <c r="F26" t="inlineStr">
        <is>
          <t>calstatela.edu_studenthealthcenter</t>
        </is>
      </c>
      <c r="G26" t="inlineStr">
        <is>
          <t>CSULA-content-manager_eop</t>
        </is>
      </c>
      <c r="H26" t="n">
        <v>1</v>
      </c>
      <c r="I26" t="n">
        <v>4</v>
      </c>
      <c r="J26" t="inlineStr">
        <is>
          <t>No</t>
        </is>
      </c>
      <c r="K26" t="n">
        <v>1</v>
      </c>
      <c r="L26" t="inlineStr">
        <is>
          <t>No</t>
        </is>
      </c>
      <c r="M26" t="inlineStr">
        <is>
          <t>Yes</t>
        </is>
      </c>
      <c r="N26" t="n">
        <v>1</v>
      </c>
      <c r="O26" t="inlineStr">
        <is>
          <t>No</t>
        </is>
      </c>
      <c r="P26" t="n">
        <v>0</v>
      </c>
      <c r="R26" t="n">
        <v>0</v>
      </c>
      <c r="S26" t="n">
        <v>0</v>
      </c>
      <c r="T26" t="n">
        <v>4</v>
      </c>
      <c r="U26" t="inlineStr">
        <is>
          <t>Yes</t>
        </is>
      </c>
      <c r="V26" t="inlineStr">
        <is>
          <t>No</t>
        </is>
      </c>
    </row>
    <row r="27">
      <c r="A27" t="inlineStr">
        <is>
          <t>2026 Campus Safety Plan</t>
        </is>
      </c>
      <c r="B27" s="1">
        <f>HYPERLINK("https://www.calstatela.edu/sites/default/files/2026%20Campus%20Safety%20Plan.pdf", "https://www.calstatela.edu/sites/default/files/2026%20Campus%20Safety%20Plan.pdf")</f>
        <v/>
      </c>
      <c r="C27" s="1">
        <f>HYPERLINK("https://www.calstatela.edu/studenthealthcenter/caps/meet-team", "https://www.calstatela.edu/studenthealthcenter/caps/meet-team")</f>
        <v/>
      </c>
      <c r="D27" t="inlineStr">
        <is>
          <t>2026-02-05 20:39:09</t>
        </is>
      </c>
      <c r="E27" t="inlineStr">
        <is>
          <t>69529a</t>
        </is>
      </c>
      <c r="F27" t="inlineStr">
        <is>
          <t>calstatela.edu_studenthealthcenter</t>
        </is>
      </c>
      <c r="G27" t="inlineStr">
        <is>
          <t>CSULA-content-manager_eop</t>
        </is>
      </c>
      <c r="H27" t="n">
        <v>1</v>
      </c>
      <c r="I27" t="n">
        <v>2</v>
      </c>
      <c r="J27" t="inlineStr">
        <is>
          <t>No</t>
        </is>
      </c>
      <c r="K27" t="n">
        <v>1</v>
      </c>
      <c r="L27" t="inlineStr">
        <is>
          <t>No</t>
        </is>
      </c>
      <c r="M27" t="inlineStr">
        <is>
          <t>Yes</t>
        </is>
      </c>
      <c r="N27" t="n">
        <v>1</v>
      </c>
      <c r="O27" t="inlineStr">
        <is>
          <t>No</t>
        </is>
      </c>
      <c r="P27" t="n">
        <v>0</v>
      </c>
      <c r="R27" t="n">
        <v>0</v>
      </c>
      <c r="S27" t="n">
        <v>0</v>
      </c>
      <c r="T27" t="n">
        <v>2</v>
      </c>
      <c r="U27" t="inlineStr">
        <is>
          <t>Yes</t>
        </is>
      </c>
      <c r="V27" t="inlineStr">
        <is>
          <t>No</t>
        </is>
      </c>
    </row>
    <row r="28">
      <c r="A28" t="inlineStr">
        <is>
          <t>2025 Annual Security Report</t>
        </is>
      </c>
      <c r="B28" s="1">
        <f>HYPERLINK("https://www.calstatela.edu/sites/default/files/2025%20Annual%20Security%20Report.pdf", "https://www.calstatela.edu/sites/default/files/2025%20Annual%20Security%20Report.pdf")</f>
        <v/>
      </c>
      <c r="C28" s="1">
        <f>HYPERLINK("https://www.calstatela.edu/studenthealthcenter/caps/support-groups", "https://www.calstatela.edu/studenthealthcenter/caps/support-groups")</f>
        <v/>
      </c>
      <c r="D28" t="inlineStr">
        <is>
          <t>2026-02-05 20:39:09</t>
        </is>
      </c>
      <c r="E28" t="inlineStr">
        <is>
          <t>d35aba</t>
        </is>
      </c>
      <c r="F28" t="inlineStr">
        <is>
          <t>calstatela.edu_studenthealthcenter</t>
        </is>
      </c>
      <c r="G28" t="inlineStr">
        <is>
          <t>CSULA-content-manager_eop</t>
        </is>
      </c>
      <c r="H28" t="n">
        <v>1</v>
      </c>
      <c r="I28" t="n">
        <v>4</v>
      </c>
      <c r="J28" t="inlineStr">
        <is>
          <t>No</t>
        </is>
      </c>
      <c r="K28" t="n">
        <v>1</v>
      </c>
      <c r="L28" t="inlineStr">
        <is>
          <t>No</t>
        </is>
      </c>
      <c r="M28" t="inlineStr">
        <is>
          <t>Yes</t>
        </is>
      </c>
      <c r="N28" t="n">
        <v>1</v>
      </c>
      <c r="O28" t="inlineStr">
        <is>
          <t>No</t>
        </is>
      </c>
      <c r="P28" t="n">
        <v>0</v>
      </c>
      <c r="R28" t="n">
        <v>0</v>
      </c>
      <c r="S28" t="n">
        <v>0</v>
      </c>
      <c r="T28" t="n">
        <v>4</v>
      </c>
      <c r="U28" t="inlineStr">
        <is>
          <t>Yes</t>
        </is>
      </c>
      <c r="V28" t="inlineStr">
        <is>
          <t>No</t>
        </is>
      </c>
    </row>
    <row r="29">
      <c r="A29" t="inlineStr">
        <is>
          <t>2026 Campus Safety Plan</t>
        </is>
      </c>
      <c r="B29" s="1">
        <f>HYPERLINK("https://www.calstatela.edu/sites/default/files/2026%20Campus%20Safety%20Plan.pdf", "https://www.calstatela.edu/sites/default/files/2026%20Campus%20Safety%20Plan.pdf")</f>
        <v/>
      </c>
      <c r="C29" s="1">
        <f>HYPERLINK("https://www.calstatela.edu/studenthealthcenter/caps/support-groups", "https://www.calstatela.edu/studenthealthcenter/caps/support-groups")</f>
        <v/>
      </c>
      <c r="D29" t="inlineStr">
        <is>
          <t>2026-02-05 20:39:09</t>
        </is>
      </c>
      <c r="E29" t="inlineStr">
        <is>
          <t>69529a</t>
        </is>
      </c>
      <c r="F29" t="inlineStr">
        <is>
          <t>calstatela.edu_studenthealthcenter</t>
        </is>
      </c>
      <c r="G29" t="inlineStr">
        <is>
          <t>CSULA-content-manager_eop</t>
        </is>
      </c>
      <c r="H29" t="n">
        <v>1</v>
      </c>
      <c r="I29" t="n">
        <v>2</v>
      </c>
      <c r="J29" t="inlineStr">
        <is>
          <t>No</t>
        </is>
      </c>
      <c r="K29" t="n">
        <v>1</v>
      </c>
      <c r="L29" t="inlineStr">
        <is>
          <t>No</t>
        </is>
      </c>
      <c r="M29" t="inlineStr">
        <is>
          <t>Yes</t>
        </is>
      </c>
      <c r="N29" t="n">
        <v>1</v>
      </c>
      <c r="O29" t="inlineStr">
        <is>
          <t>No</t>
        </is>
      </c>
      <c r="P29" t="n">
        <v>0</v>
      </c>
      <c r="R29" t="n">
        <v>0</v>
      </c>
      <c r="S29" t="n">
        <v>0</v>
      </c>
      <c r="T29" t="n">
        <v>2</v>
      </c>
      <c r="U29" t="inlineStr">
        <is>
          <t>Yes</t>
        </is>
      </c>
      <c r="V29" t="inlineStr">
        <is>
          <t>No</t>
        </is>
      </c>
    </row>
    <row r="30">
      <c r="A30" t="inlineStr">
        <is>
          <t>2025 Annual Security Report</t>
        </is>
      </c>
      <c r="B30" s="1">
        <f>HYPERLINK("https://www.calstatela.edu/sites/default/files/2025%20Annual%20Security%20Report.pdf", "https://www.calstatela.edu/sites/default/files/2025%20Annual%20Security%20Report.pdf")</f>
        <v/>
      </c>
      <c r="C30" s="1">
        <f>HYPERLINK("https://www.calstatela.edu/studenthealthcenter/caps/when-seek-counseling", "https://www.calstatela.edu/studenthealthcenter/caps/when-seek-counseling")</f>
        <v/>
      </c>
      <c r="D30" t="inlineStr">
        <is>
          <t>2026-02-05 20:39:09</t>
        </is>
      </c>
      <c r="E30" t="inlineStr">
        <is>
          <t>d35aba</t>
        </is>
      </c>
      <c r="F30" t="inlineStr">
        <is>
          <t>calstatela.edu_studenthealthcenter</t>
        </is>
      </c>
      <c r="G30" t="inlineStr">
        <is>
          <t>CSULA-content-manager_eop</t>
        </is>
      </c>
      <c r="H30" t="n">
        <v>1</v>
      </c>
      <c r="I30" t="n">
        <v>4</v>
      </c>
      <c r="J30" t="inlineStr">
        <is>
          <t>No</t>
        </is>
      </c>
      <c r="K30" t="n">
        <v>1</v>
      </c>
      <c r="L30" t="inlineStr">
        <is>
          <t>No</t>
        </is>
      </c>
      <c r="M30" t="inlineStr">
        <is>
          <t>Yes</t>
        </is>
      </c>
      <c r="N30" t="n">
        <v>1</v>
      </c>
      <c r="O30" t="inlineStr">
        <is>
          <t>No</t>
        </is>
      </c>
      <c r="P30" t="n">
        <v>0</v>
      </c>
      <c r="R30" t="n">
        <v>0</v>
      </c>
      <c r="S30" t="n">
        <v>0</v>
      </c>
      <c r="T30" t="n">
        <v>4</v>
      </c>
      <c r="U30" t="inlineStr">
        <is>
          <t>Yes</t>
        </is>
      </c>
      <c r="V30" t="inlineStr">
        <is>
          <t>No</t>
        </is>
      </c>
    </row>
    <row r="31">
      <c r="A31" t="inlineStr">
        <is>
          <t>2026 Campus Safety Plan</t>
        </is>
      </c>
      <c r="B31" s="1">
        <f>HYPERLINK("https://www.calstatela.edu/sites/default/files/2026%20Campus%20Safety%20Plan.pdf", "https://www.calstatela.edu/sites/default/files/2026%20Campus%20Safety%20Plan.pdf")</f>
        <v/>
      </c>
      <c r="C31" s="1">
        <f>HYPERLINK("https://www.calstatela.edu/studenthealthcenter/caps/when-seek-counseling", "https://www.calstatela.edu/studenthealthcenter/caps/when-seek-counseling")</f>
        <v/>
      </c>
      <c r="D31" t="inlineStr">
        <is>
          <t>2026-02-05 20:39:09</t>
        </is>
      </c>
      <c r="E31" t="inlineStr">
        <is>
          <t>69529a</t>
        </is>
      </c>
      <c r="F31" t="inlineStr">
        <is>
          <t>calstatela.edu_studenthealthcenter</t>
        </is>
      </c>
      <c r="G31" t="inlineStr">
        <is>
          <t>CSULA-content-manager_eop</t>
        </is>
      </c>
      <c r="H31" t="n">
        <v>1</v>
      </c>
      <c r="I31" t="n">
        <v>2</v>
      </c>
      <c r="J31" t="inlineStr">
        <is>
          <t>No</t>
        </is>
      </c>
      <c r="K31" t="n">
        <v>1</v>
      </c>
      <c r="L31" t="inlineStr">
        <is>
          <t>No</t>
        </is>
      </c>
      <c r="M31" t="inlineStr">
        <is>
          <t>Yes</t>
        </is>
      </c>
      <c r="N31" t="n">
        <v>1</v>
      </c>
      <c r="O31" t="inlineStr">
        <is>
          <t>No</t>
        </is>
      </c>
      <c r="P31" t="n">
        <v>0</v>
      </c>
      <c r="R31" t="n">
        <v>0</v>
      </c>
      <c r="S31" t="n">
        <v>0</v>
      </c>
      <c r="T31" t="n">
        <v>2</v>
      </c>
      <c r="U31" t="inlineStr">
        <is>
          <t>Yes</t>
        </is>
      </c>
      <c r="V31" t="inlineStr">
        <is>
          <t>No</t>
        </is>
      </c>
    </row>
    <row r="32">
      <c r="A32" t="inlineStr">
        <is>
          <t>2025 Annual Security Report</t>
        </is>
      </c>
      <c r="B32" s="1">
        <f>HYPERLINK("https://www.calstatela.edu/sites/default/files/2025%20Annual%20Security%20Report.pdf", "https://www.calstatela.edu/sites/default/files/2025%20Annual%20Security%20Report.pdf")</f>
        <v/>
      </c>
      <c r="C32" s="1">
        <f>HYPERLINK("https://www.calstatela.edu/studenthealthcenter/eligibility", "https://www.calstatela.edu/studenthealthcenter/eligibility")</f>
        <v/>
      </c>
      <c r="D32" t="inlineStr">
        <is>
          <t>2026-02-05 20:38:16</t>
        </is>
      </c>
      <c r="E32" t="inlineStr">
        <is>
          <t>d35aba</t>
        </is>
      </c>
      <c r="F32" t="inlineStr">
        <is>
          <t>calstatela.edu_studenthealthcenter</t>
        </is>
      </c>
      <c r="G32" t="inlineStr">
        <is>
          <t>CSULA-content-manager_eop</t>
        </is>
      </c>
      <c r="H32" t="n">
        <v>1</v>
      </c>
      <c r="I32" t="n">
        <v>4</v>
      </c>
      <c r="J32" t="inlineStr">
        <is>
          <t>No</t>
        </is>
      </c>
      <c r="K32" t="n">
        <v>1</v>
      </c>
      <c r="L32" t="inlineStr">
        <is>
          <t>No</t>
        </is>
      </c>
      <c r="M32" t="inlineStr">
        <is>
          <t>Yes</t>
        </is>
      </c>
      <c r="N32" t="n">
        <v>1</v>
      </c>
      <c r="O32" t="inlineStr">
        <is>
          <t>No</t>
        </is>
      </c>
      <c r="P32" t="n">
        <v>0</v>
      </c>
      <c r="R32" t="n">
        <v>0</v>
      </c>
      <c r="S32" t="n">
        <v>0</v>
      </c>
      <c r="T32" t="n">
        <v>4</v>
      </c>
      <c r="U32" t="inlineStr">
        <is>
          <t>Yes</t>
        </is>
      </c>
      <c r="V32" t="inlineStr">
        <is>
          <t>No</t>
        </is>
      </c>
    </row>
    <row r="33">
      <c r="A33" t="inlineStr">
        <is>
          <t>2026 Campus Safety Plan</t>
        </is>
      </c>
      <c r="B33" s="1">
        <f>HYPERLINK("https://www.calstatela.edu/sites/default/files/2026%20Campus%20Safety%20Plan.pdf", "https://www.calstatela.edu/sites/default/files/2026%20Campus%20Safety%20Plan.pdf")</f>
        <v/>
      </c>
      <c r="C33" s="1">
        <f>HYPERLINK("https://www.calstatela.edu/studenthealthcenter/eligibility", "https://www.calstatela.edu/studenthealthcenter/eligibility")</f>
        <v/>
      </c>
      <c r="D33" t="inlineStr">
        <is>
          <t>2026-02-05 20:38:16</t>
        </is>
      </c>
      <c r="E33" t="inlineStr">
        <is>
          <t>69529a</t>
        </is>
      </c>
      <c r="F33" t="inlineStr">
        <is>
          <t>calstatela.edu_studenthealthcenter</t>
        </is>
      </c>
      <c r="G33" t="inlineStr">
        <is>
          <t>CSULA-content-manager_eop</t>
        </is>
      </c>
      <c r="H33" t="n">
        <v>1</v>
      </c>
      <c r="I33" t="n">
        <v>2</v>
      </c>
      <c r="J33" t="inlineStr">
        <is>
          <t>No</t>
        </is>
      </c>
      <c r="K33" t="n">
        <v>1</v>
      </c>
      <c r="L33" t="inlineStr">
        <is>
          <t>No</t>
        </is>
      </c>
      <c r="M33" t="inlineStr">
        <is>
          <t>Yes</t>
        </is>
      </c>
      <c r="N33" t="n">
        <v>1</v>
      </c>
      <c r="O33" t="inlineStr">
        <is>
          <t>No</t>
        </is>
      </c>
      <c r="P33" t="n">
        <v>0</v>
      </c>
      <c r="R33" t="n">
        <v>0</v>
      </c>
      <c r="S33" t="n">
        <v>0</v>
      </c>
      <c r="T33" t="n">
        <v>2</v>
      </c>
      <c r="U33" t="inlineStr">
        <is>
          <t>Yes</t>
        </is>
      </c>
      <c r="V33" t="inlineStr">
        <is>
          <t>No</t>
        </is>
      </c>
    </row>
    <row r="34">
      <c r="A34" t="inlineStr">
        <is>
          <t>2025 Annual Security Report</t>
        </is>
      </c>
      <c r="B34" s="1">
        <f>HYPERLINK("https://www.calstatela.edu/sites/default/files/2025%20Annual%20Security%20Report.pdf", "https://www.calstatela.edu/sites/default/files/2025%20Annual%20Security%20Report.pdf")</f>
        <v/>
      </c>
      <c r="C34" s="1">
        <f>HYPERLINK("https://www.calstatela.edu/studenthealthcenter/enrollment-immunization-and-screening-requirements", "https://www.calstatela.edu/studenthealthcenter/enrollment-immunization-and-screening-requirements")</f>
        <v/>
      </c>
      <c r="D34" t="inlineStr">
        <is>
          <t>2026-02-05 20:38:16</t>
        </is>
      </c>
      <c r="E34" t="inlineStr">
        <is>
          <t>d35aba</t>
        </is>
      </c>
      <c r="F34" t="inlineStr">
        <is>
          <t>calstatela.edu_studenthealthcenter</t>
        </is>
      </c>
      <c r="G34" t="inlineStr">
        <is>
          <t>CSULA-content-manager_eop</t>
        </is>
      </c>
      <c r="H34" t="n">
        <v>1</v>
      </c>
      <c r="I34" t="n">
        <v>4</v>
      </c>
      <c r="J34" t="inlineStr">
        <is>
          <t>No</t>
        </is>
      </c>
      <c r="K34" t="n">
        <v>1</v>
      </c>
      <c r="L34" t="inlineStr">
        <is>
          <t>No</t>
        </is>
      </c>
      <c r="M34" t="inlineStr">
        <is>
          <t>Yes</t>
        </is>
      </c>
      <c r="N34" t="n">
        <v>1</v>
      </c>
      <c r="O34" t="inlineStr">
        <is>
          <t>No</t>
        </is>
      </c>
      <c r="P34" t="n">
        <v>0</v>
      </c>
      <c r="R34" t="n">
        <v>0</v>
      </c>
      <c r="S34" t="n">
        <v>0</v>
      </c>
      <c r="T34" t="n">
        <v>4</v>
      </c>
      <c r="U34" t="inlineStr">
        <is>
          <t>Yes</t>
        </is>
      </c>
      <c r="V34" t="inlineStr">
        <is>
          <t>No</t>
        </is>
      </c>
    </row>
    <row r="35">
      <c r="A35" t="inlineStr">
        <is>
          <t>2026 Campus Safety Plan</t>
        </is>
      </c>
      <c r="B35" s="1">
        <f>HYPERLINK("https://www.calstatela.edu/sites/default/files/2026%20Campus%20Safety%20Plan.pdf", "https://www.calstatela.edu/sites/default/files/2026%20Campus%20Safety%20Plan.pdf")</f>
        <v/>
      </c>
      <c r="C35" s="1">
        <f>HYPERLINK("https://www.calstatela.edu/studenthealthcenter/enrollment-immunization-and-screening-requirements", "https://www.calstatela.edu/studenthealthcenter/enrollment-immunization-and-screening-requirements")</f>
        <v/>
      </c>
      <c r="D35" t="inlineStr">
        <is>
          <t>2026-02-05 20:38:16</t>
        </is>
      </c>
      <c r="E35" t="inlineStr">
        <is>
          <t>69529a</t>
        </is>
      </c>
      <c r="F35" t="inlineStr">
        <is>
          <t>calstatela.edu_studenthealthcenter</t>
        </is>
      </c>
      <c r="G35" t="inlineStr">
        <is>
          <t>CSULA-content-manager_eop</t>
        </is>
      </c>
      <c r="H35" t="n">
        <v>1</v>
      </c>
      <c r="I35" t="n">
        <v>2</v>
      </c>
      <c r="J35" t="inlineStr">
        <is>
          <t>No</t>
        </is>
      </c>
      <c r="K35" t="n">
        <v>1</v>
      </c>
      <c r="L35" t="inlineStr">
        <is>
          <t>No</t>
        </is>
      </c>
      <c r="M35" t="inlineStr">
        <is>
          <t>Yes</t>
        </is>
      </c>
      <c r="N35" t="n">
        <v>1</v>
      </c>
      <c r="O35" t="inlineStr">
        <is>
          <t>No</t>
        </is>
      </c>
      <c r="P35" t="n">
        <v>0</v>
      </c>
      <c r="R35" t="n">
        <v>0</v>
      </c>
      <c r="S35" t="n">
        <v>0</v>
      </c>
      <c r="T35" t="n">
        <v>2</v>
      </c>
      <c r="U35" t="inlineStr">
        <is>
          <t>Yes</t>
        </is>
      </c>
      <c r="V35" t="inlineStr">
        <is>
          <t>No</t>
        </is>
      </c>
    </row>
    <row r="36">
      <c r="A36" t="inlineStr">
        <is>
          <t>2025 Annual Security Report</t>
        </is>
      </c>
      <c r="B36" s="1">
        <f>HYPERLINK("https://www.calstatela.edu/sites/default/files/2025%20Annual%20Security%20Report.pdf", "https://www.calstatela.edu/sites/default/files/2025%20Annual%20Security%20Report.pdf")</f>
        <v/>
      </c>
      <c r="C36" s="1">
        <f>HYPERLINK("https://www.calstatela.edu/studenthealthcenter/family-planning", "https://www.calstatela.edu/studenthealthcenter/family-planning")</f>
        <v/>
      </c>
      <c r="D36" t="inlineStr">
        <is>
          <t>2026-02-05 20:38:16</t>
        </is>
      </c>
      <c r="E36" t="inlineStr">
        <is>
          <t>d35aba</t>
        </is>
      </c>
      <c r="F36" t="inlineStr">
        <is>
          <t>calstatela.edu_studenthealthcenter</t>
        </is>
      </c>
      <c r="G36" t="inlineStr">
        <is>
          <t>CSULA-content-manager_eop</t>
        </is>
      </c>
      <c r="H36" t="n">
        <v>1</v>
      </c>
      <c r="I36" t="n">
        <v>4</v>
      </c>
      <c r="J36" t="inlineStr">
        <is>
          <t>No</t>
        </is>
      </c>
      <c r="K36" t="n">
        <v>1</v>
      </c>
      <c r="L36" t="inlineStr">
        <is>
          <t>No</t>
        </is>
      </c>
      <c r="M36" t="inlineStr">
        <is>
          <t>Yes</t>
        </is>
      </c>
      <c r="N36" t="n">
        <v>1</v>
      </c>
      <c r="O36" t="inlineStr">
        <is>
          <t>No</t>
        </is>
      </c>
      <c r="P36" t="n">
        <v>0</v>
      </c>
      <c r="R36" t="n">
        <v>0</v>
      </c>
      <c r="S36" t="n">
        <v>0</v>
      </c>
      <c r="T36" t="n">
        <v>4</v>
      </c>
      <c r="U36" t="inlineStr">
        <is>
          <t>Yes</t>
        </is>
      </c>
      <c r="V36" t="inlineStr">
        <is>
          <t>No</t>
        </is>
      </c>
    </row>
    <row r="37">
      <c r="A37" t="inlineStr">
        <is>
          <t>2026 Campus Safety Plan</t>
        </is>
      </c>
      <c r="B37" s="1">
        <f>HYPERLINK("https://www.calstatela.edu/sites/default/files/2026%20Campus%20Safety%20Plan.pdf", "https://www.calstatela.edu/sites/default/files/2026%20Campus%20Safety%20Plan.pdf")</f>
        <v/>
      </c>
      <c r="C37" s="1">
        <f>HYPERLINK("https://www.calstatela.edu/studenthealthcenter/family-planning", "https://www.calstatela.edu/studenthealthcenter/family-planning")</f>
        <v/>
      </c>
      <c r="D37" t="inlineStr">
        <is>
          <t>2026-02-05 20:38:16</t>
        </is>
      </c>
      <c r="E37" t="inlineStr">
        <is>
          <t>69529a</t>
        </is>
      </c>
      <c r="F37" t="inlineStr">
        <is>
          <t>calstatela.edu_studenthealthcenter</t>
        </is>
      </c>
      <c r="G37" t="inlineStr">
        <is>
          <t>CSULA-content-manager_eop</t>
        </is>
      </c>
      <c r="H37" t="n">
        <v>1</v>
      </c>
      <c r="I37" t="n">
        <v>2</v>
      </c>
      <c r="J37" t="inlineStr">
        <is>
          <t>No</t>
        </is>
      </c>
      <c r="K37" t="n">
        <v>1</v>
      </c>
      <c r="L37" t="inlineStr">
        <is>
          <t>No</t>
        </is>
      </c>
      <c r="M37" t="inlineStr">
        <is>
          <t>Yes</t>
        </is>
      </c>
      <c r="N37" t="n">
        <v>1</v>
      </c>
      <c r="O37" t="inlineStr">
        <is>
          <t>No</t>
        </is>
      </c>
      <c r="P37" t="n">
        <v>0</v>
      </c>
      <c r="R37" t="n">
        <v>0</v>
      </c>
      <c r="S37" t="n">
        <v>0</v>
      </c>
      <c r="T37" t="n">
        <v>2</v>
      </c>
      <c r="U37" t="inlineStr">
        <is>
          <t>Yes</t>
        </is>
      </c>
      <c r="V37" t="inlineStr">
        <is>
          <t>No</t>
        </is>
      </c>
    </row>
    <row r="38">
      <c r="A38" t="inlineStr">
        <is>
          <t>2025 Annual Security Report</t>
        </is>
      </c>
      <c r="B38" s="1">
        <f>HYPERLINK("https://www.calstatela.edu/sites/default/files/2025%20Annual%20Security%20Report.pdf", "https://www.calstatela.edu/sites/default/files/2025%20Annual%20Security%20Report.pdf")</f>
        <v/>
      </c>
      <c r="C38" s="1">
        <f>HYPERLINK("https://www.calstatela.edu/studenthealthcenter/forms", "https://www.calstatela.edu/studenthealthcenter/forms")</f>
        <v/>
      </c>
      <c r="D38" t="inlineStr">
        <is>
          <t>2026-02-05 20:38:16</t>
        </is>
      </c>
      <c r="E38" t="inlineStr">
        <is>
          <t>d35aba</t>
        </is>
      </c>
      <c r="F38" t="inlineStr">
        <is>
          <t>calstatela.edu_studenthealthcenter</t>
        </is>
      </c>
      <c r="G38" t="inlineStr">
        <is>
          <t>CSULA-content-manager_eop</t>
        </is>
      </c>
      <c r="H38" t="n">
        <v>1</v>
      </c>
      <c r="I38" t="n">
        <v>4</v>
      </c>
      <c r="J38" t="inlineStr">
        <is>
          <t>No</t>
        </is>
      </c>
      <c r="K38" t="n">
        <v>1</v>
      </c>
      <c r="L38" t="inlineStr">
        <is>
          <t>No</t>
        </is>
      </c>
      <c r="M38" t="inlineStr">
        <is>
          <t>Yes</t>
        </is>
      </c>
      <c r="N38" t="n">
        <v>1</v>
      </c>
      <c r="O38" t="inlineStr">
        <is>
          <t>No</t>
        </is>
      </c>
      <c r="P38" t="n">
        <v>0</v>
      </c>
      <c r="R38" t="n">
        <v>0</v>
      </c>
      <c r="S38" t="n">
        <v>0</v>
      </c>
      <c r="T38" t="n">
        <v>4</v>
      </c>
      <c r="U38" t="inlineStr">
        <is>
          <t>Yes</t>
        </is>
      </c>
      <c r="V38" t="inlineStr">
        <is>
          <t>No</t>
        </is>
      </c>
    </row>
    <row r="39">
      <c r="A39" t="inlineStr">
        <is>
          <t>2026 Campus Safety Plan</t>
        </is>
      </c>
      <c r="B39" s="1">
        <f>HYPERLINK("https://www.calstatela.edu/sites/default/files/2026%20Campus%20Safety%20Plan.pdf", "https://www.calstatela.edu/sites/default/files/2026%20Campus%20Safety%20Plan.pdf")</f>
        <v/>
      </c>
      <c r="C39" s="1">
        <f>HYPERLINK("https://www.calstatela.edu/studenthealthcenter/forms", "https://www.calstatela.edu/studenthealthcenter/forms")</f>
        <v/>
      </c>
      <c r="D39" t="inlineStr">
        <is>
          <t>2026-02-05 20:38:16</t>
        </is>
      </c>
      <c r="E39" t="inlineStr">
        <is>
          <t>69529a</t>
        </is>
      </c>
      <c r="F39" t="inlineStr">
        <is>
          <t>calstatela.edu_studenthealthcenter</t>
        </is>
      </c>
      <c r="G39" t="inlineStr">
        <is>
          <t>CSULA-content-manager_eop</t>
        </is>
      </c>
      <c r="H39" t="n">
        <v>1</v>
      </c>
      <c r="I39" t="n">
        <v>2</v>
      </c>
      <c r="J39" t="inlineStr">
        <is>
          <t>No</t>
        </is>
      </c>
      <c r="K39" t="n">
        <v>1</v>
      </c>
      <c r="L39" t="inlineStr">
        <is>
          <t>No</t>
        </is>
      </c>
      <c r="M39" t="inlineStr">
        <is>
          <t>Yes</t>
        </is>
      </c>
      <c r="N39" t="n">
        <v>1</v>
      </c>
      <c r="O39" t="inlineStr">
        <is>
          <t>No</t>
        </is>
      </c>
      <c r="P39" t="n">
        <v>0</v>
      </c>
      <c r="R39" t="n">
        <v>0</v>
      </c>
      <c r="S39" t="n">
        <v>0</v>
      </c>
      <c r="T39" t="n">
        <v>2</v>
      </c>
      <c r="U39" t="inlineStr">
        <is>
          <t>Yes</t>
        </is>
      </c>
      <c r="V39" t="inlineStr">
        <is>
          <t>No</t>
        </is>
      </c>
    </row>
    <row r="40">
      <c r="A40" s="2" t="inlineStr">
        <is>
          <t>authorization to release phi 081419</t>
        </is>
      </c>
      <c r="B40" s="3">
        <f>HYPERLINK("https://www.calstatela.edu/sites/default/files/authorization_to_release_phi_081419.pdf", "https://www.calstatela.edu/sites/default/files/authorization_to_release_phi_081419.pdf")</f>
        <v/>
      </c>
      <c r="C40" s="3">
        <f>HYPERLINK("https://www.calstatela.edu/studenthealthcenter/forms", "https://www.calstatela.edu/studenthealthcenter/forms")</f>
        <v/>
      </c>
      <c r="D40" s="2" t="inlineStr">
        <is>
          <t>2026-02-05 20:38:16</t>
        </is>
      </c>
      <c r="E40" s="2" t="inlineStr">
        <is>
          <t>9f4c3b</t>
        </is>
      </c>
      <c r="F40" s="2" t="inlineStr">
        <is>
          <t>calstatela.edu_studenthealthcenter</t>
        </is>
      </c>
      <c r="G40" s="2" t="inlineStr">
        <is>
          <t>CSULA-content-manager_eop</t>
        </is>
      </c>
      <c r="H40" s="2" t="n">
        <v>1</v>
      </c>
      <c r="I40" s="2" t="n">
        <v>2</v>
      </c>
      <c r="J40" s="2" t="inlineStr">
        <is>
          <t>No</t>
        </is>
      </c>
      <c r="K40" s="2" t="n">
        <v>1</v>
      </c>
      <c r="L40" s="2" t="inlineStr">
        <is>
          <t>No</t>
        </is>
      </c>
      <c r="M40" s="2" t="inlineStr">
        <is>
          <t>Yes</t>
        </is>
      </c>
      <c r="N40" s="2" t="n">
        <v>1</v>
      </c>
      <c r="O40" s="2" t="inlineStr">
        <is>
          <t>No</t>
        </is>
      </c>
      <c r="P40" s="2" t="n">
        <v>0</v>
      </c>
      <c r="Q40" s="2" t="n"/>
      <c r="R40" s="2" t="n">
        <v>0</v>
      </c>
      <c r="S40" s="2" t="n">
        <v>0</v>
      </c>
      <c r="T40" s="2" t="n">
        <v>2</v>
      </c>
      <c r="U40" s="2" t="inlineStr">
        <is>
          <t>No</t>
        </is>
      </c>
      <c r="V40" s="2" t="inlineStr">
        <is>
          <t>No</t>
        </is>
      </c>
    </row>
    <row r="41">
      <c r="A41" t="inlineStr">
        <is>
          <t>2025 Annual Security Report</t>
        </is>
      </c>
      <c r="B41" s="1">
        <f>HYPERLINK("https://www.calstatela.edu/sites/default/files/2025%20Annual%20Security%20Report.pdf", "https://www.calstatela.edu/sites/default/files/2025%20Annual%20Security%20Report.pdf")</f>
        <v/>
      </c>
      <c r="C41" s="1">
        <f>HYPERLINK("https://www.calstatela.edu/studenthealthcenter/health-education", "https://www.calstatela.edu/studenthealthcenter/health-education")</f>
        <v/>
      </c>
      <c r="D41" t="inlineStr">
        <is>
          <t>2026-02-05 20:38:16</t>
        </is>
      </c>
      <c r="E41" t="inlineStr">
        <is>
          <t>d35aba</t>
        </is>
      </c>
      <c r="F41" t="inlineStr">
        <is>
          <t>calstatela.edu_studenthealthcenter</t>
        </is>
      </c>
      <c r="G41" t="inlineStr">
        <is>
          <t>CSULA-content-manager_eop</t>
        </is>
      </c>
      <c r="H41" t="n">
        <v>1</v>
      </c>
      <c r="I41" t="n">
        <v>4</v>
      </c>
      <c r="J41" t="inlineStr">
        <is>
          <t>No</t>
        </is>
      </c>
      <c r="K41" t="n">
        <v>1</v>
      </c>
      <c r="L41" t="inlineStr">
        <is>
          <t>No</t>
        </is>
      </c>
      <c r="M41" t="inlineStr">
        <is>
          <t>Yes</t>
        </is>
      </c>
      <c r="N41" t="n">
        <v>1</v>
      </c>
      <c r="O41" t="inlineStr">
        <is>
          <t>No</t>
        </is>
      </c>
      <c r="P41" t="n">
        <v>0</v>
      </c>
      <c r="R41" t="n">
        <v>0</v>
      </c>
      <c r="S41" t="n">
        <v>0</v>
      </c>
      <c r="T41" t="n">
        <v>4</v>
      </c>
      <c r="U41" t="inlineStr">
        <is>
          <t>Yes</t>
        </is>
      </c>
      <c r="V41" t="inlineStr">
        <is>
          <t>No</t>
        </is>
      </c>
    </row>
    <row r="42">
      <c r="A42" t="inlineStr">
        <is>
          <t>2026 Campus Safety Plan</t>
        </is>
      </c>
      <c r="B42" s="1">
        <f>HYPERLINK("https://www.calstatela.edu/sites/default/files/2026%20Campus%20Safety%20Plan.pdf", "https://www.calstatela.edu/sites/default/files/2026%20Campus%20Safety%20Plan.pdf")</f>
        <v/>
      </c>
      <c r="C42" s="1">
        <f>HYPERLINK("https://www.calstatela.edu/studenthealthcenter/health-education", "https://www.calstatela.edu/studenthealthcenter/health-education")</f>
        <v/>
      </c>
      <c r="D42" t="inlineStr">
        <is>
          <t>2026-02-05 20:38:16</t>
        </is>
      </c>
      <c r="E42" t="inlineStr">
        <is>
          <t>69529a</t>
        </is>
      </c>
      <c r="F42" t="inlineStr">
        <is>
          <t>calstatela.edu_studenthealthcenter</t>
        </is>
      </c>
      <c r="G42" t="inlineStr">
        <is>
          <t>CSULA-content-manager_eop</t>
        </is>
      </c>
      <c r="H42" t="n">
        <v>1</v>
      </c>
      <c r="I42" t="n">
        <v>2</v>
      </c>
      <c r="J42" t="inlineStr">
        <is>
          <t>No</t>
        </is>
      </c>
      <c r="K42" t="n">
        <v>1</v>
      </c>
      <c r="L42" t="inlineStr">
        <is>
          <t>No</t>
        </is>
      </c>
      <c r="M42" t="inlineStr">
        <is>
          <t>Yes</t>
        </is>
      </c>
      <c r="N42" t="n">
        <v>1</v>
      </c>
      <c r="O42" t="inlineStr">
        <is>
          <t>No</t>
        </is>
      </c>
      <c r="P42" t="n">
        <v>0</v>
      </c>
      <c r="R42" t="n">
        <v>0</v>
      </c>
      <c r="S42" t="n">
        <v>0</v>
      </c>
      <c r="T42" t="n">
        <v>2</v>
      </c>
      <c r="U42" t="inlineStr">
        <is>
          <t>Yes</t>
        </is>
      </c>
      <c r="V42" t="inlineStr">
        <is>
          <t>No</t>
        </is>
      </c>
    </row>
    <row r="43">
      <c r="A43" t="inlineStr">
        <is>
          <t>2025 Annual Security Report</t>
        </is>
      </c>
      <c r="B43" s="1">
        <f>HYPERLINK("https://www.calstatela.edu/sites/default/files/2025%20Annual%20Security%20Report.pdf", "https://www.calstatela.edu/sites/default/files/2025%20Annual%20Security%20Report.pdf")</f>
        <v/>
      </c>
      <c r="C43" s="1">
        <f>HYPERLINK("https://www.calstatela.edu/studenthealthcenter/hotlines-and-resources", "https://www.calstatela.edu/studenthealthcenter/hotlines-and-resources")</f>
        <v/>
      </c>
      <c r="D43" t="inlineStr">
        <is>
          <t>2026-02-05 20:38:16</t>
        </is>
      </c>
      <c r="E43" t="inlineStr">
        <is>
          <t>d35aba</t>
        </is>
      </c>
      <c r="F43" t="inlineStr">
        <is>
          <t>calstatela.edu_studenthealthcenter</t>
        </is>
      </c>
      <c r="G43" t="inlineStr">
        <is>
          <t>CSULA-content-manager_eop</t>
        </is>
      </c>
      <c r="H43" t="n">
        <v>1</v>
      </c>
      <c r="I43" t="n">
        <v>4</v>
      </c>
      <c r="J43" t="inlineStr">
        <is>
          <t>No</t>
        </is>
      </c>
      <c r="K43" t="n">
        <v>1</v>
      </c>
      <c r="L43" t="inlineStr">
        <is>
          <t>No</t>
        </is>
      </c>
      <c r="M43" t="inlineStr">
        <is>
          <t>Yes</t>
        </is>
      </c>
      <c r="N43" t="n">
        <v>1</v>
      </c>
      <c r="O43" t="inlineStr">
        <is>
          <t>No</t>
        </is>
      </c>
      <c r="P43" t="n">
        <v>0</v>
      </c>
      <c r="R43" t="n">
        <v>0</v>
      </c>
      <c r="S43" t="n">
        <v>0</v>
      </c>
      <c r="T43" t="n">
        <v>4</v>
      </c>
      <c r="U43" t="inlineStr">
        <is>
          <t>Yes</t>
        </is>
      </c>
      <c r="V43" t="inlineStr">
        <is>
          <t>No</t>
        </is>
      </c>
    </row>
    <row r="44">
      <c r="A44" t="inlineStr">
        <is>
          <t>2026 Campus Safety Plan</t>
        </is>
      </c>
      <c r="B44" s="1">
        <f>HYPERLINK("https://www.calstatela.edu/sites/default/files/2026%20Campus%20Safety%20Plan.pdf", "https://www.calstatela.edu/sites/default/files/2026%20Campus%20Safety%20Plan.pdf")</f>
        <v/>
      </c>
      <c r="C44" s="1">
        <f>HYPERLINK("https://www.calstatela.edu/studenthealthcenter/hotlines-and-resources", "https://www.calstatela.edu/studenthealthcenter/hotlines-and-resources")</f>
        <v/>
      </c>
      <c r="D44" t="inlineStr">
        <is>
          <t>2026-02-05 20:38:16</t>
        </is>
      </c>
      <c r="E44" t="inlineStr">
        <is>
          <t>69529a</t>
        </is>
      </c>
      <c r="F44" t="inlineStr">
        <is>
          <t>calstatela.edu_studenthealthcenter</t>
        </is>
      </c>
      <c r="G44" t="inlineStr">
        <is>
          <t>CSULA-content-manager_eop</t>
        </is>
      </c>
      <c r="H44" t="n">
        <v>1</v>
      </c>
      <c r="I44" t="n">
        <v>2</v>
      </c>
      <c r="J44" t="inlineStr">
        <is>
          <t>No</t>
        </is>
      </c>
      <c r="K44" t="n">
        <v>1</v>
      </c>
      <c r="L44" t="inlineStr">
        <is>
          <t>No</t>
        </is>
      </c>
      <c r="M44" t="inlineStr">
        <is>
          <t>Yes</t>
        </is>
      </c>
      <c r="N44" t="n">
        <v>1</v>
      </c>
      <c r="O44" t="inlineStr">
        <is>
          <t>No</t>
        </is>
      </c>
      <c r="P44" t="n">
        <v>0</v>
      </c>
      <c r="R44" t="n">
        <v>0</v>
      </c>
      <c r="S44" t="n">
        <v>0</v>
      </c>
      <c r="T44" t="n">
        <v>2</v>
      </c>
      <c r="U44" t="inlineStr">
        <is>
          <t>Yes</t>
        </is>
      </c>
      <c r="V44" t="inlineStr">
        <is>
          <t>No</t>
        </is>
      </c>
    </row>
    <row r="45">
      <c r="A45" t="inlineStr">
        <is>
          <t>2025 Annual Security Report</t>
        </is>
      </c>
      <c r="B45" s="1">
        <f>HYPERLINK("https://www.calstatela.edu/sites/default/files/2025%20Annual%20Security%20Report.pdf", "https://www.calstatela.edu/sites/default/files/2025%20Annual%20Security%20Report.pdf")</f>
        <v/>
      </c>
      <c r="C45" s="1">
        <f>HYPERLINK("https://www.calstatela.edu/studenthealthcenter/measles-what-you-need-know", "https://www.calstatela.edu/studenthealthcenter/measles-what-you-need-know")</f>
        <v/>
      </c>
      <c r="D45" t="inlineStr">
        <is>
          <t>2026-02-05 20:38:53</t>
        </is>
      </c>
      <c r="E45" t="inlineStr">
        <is>
          <t>d35aba</t>
        </is>
      </c>
      <c r="F45" t="inlineStr">
        <is>
          <t>calstatela.edu_studenthealthcenter</t>
        </is>
      </c>
      <c r="G45" t="inlineStr">
        <is>
          <t>CSULA-content-manager_eop</t>
        </is>
      </c>
      <c r="H45" t="n">
        <v>1</v>
      </c>
      <c r="I45" t="n">
        <v>4</v>
      </c>
      <c r="J45" t="inlineStr">
        <is>
          <t>No</t>
        </is>
      </c>
      <c r="K45" t="n">
        <v>1</v>
      </c>
      <c r="L45" t="inlineStr">
        <is>
          <t>No</t>
        </is>
      </c>
      <c r="M45" t="inlineStr">
        <is>
          <t>Yes</t>
        </is>
      </c>
      <c r="N45" t="n">
        <v>1</v>
      </c>
      <c r="O45" t="inlineStr">
        <is>
          <t>No</t>
        </is>
      </c>
      <c r="P45" t="n">
        <v>0</v>
      </c>
      <c r="R45" t="n">
        <v>0</v>
      </c>
      <c r="S45" t="n">
        <v>0</v>
      </c>
      <c r="T45" t="n">
        <v>4</v>
      </c>
      <c r="U45" t="inlineStr">
        <is>
          <t>Yes</t>
        </is>
      </c>
      <c r="V45" t="inlineStr">
        <is>
          <t>No</t>
        </is>
      </c>
    </row>
    <row r="46">
      <c r="A46" t="inlineStr">
        <is>
          <t>2026 Campus Safety Plan</t>
        </is>
      </c>
      <c r="B46" s="1">
        <f>HYPERLINK("https://www.calstatela.edu/sites/default/files/2026%20Campus%20Safety%20Plan.pdf", "https://www.calstatela.edu/sites/default/files/2026%20Campus%20Safety%20Plan.pdf")</f>
        <v/>
      </c>
      <c r="C46" s="1">
        <f>HYPERLINK("https://www.calstatela.edu/studenthealthcenter/measles-what-you-need-know", "https://www.calstatela.edu/studenthealthcenter/measles-what-you-need-know")</f>
        <v/>
      </c>
      <c r="D46" t="inlineStr">
        <is>
          <t>2026-02-05 20:38:53</t>
        </is>
      </c>
      <c r="E46" t="inlineStr">
        <is>
          <t>69529a</t>
        </is>
      </c>
      <c r="F46" t="inlineStr">
        <is>
          <t>calstatela.edu_studenthealthcenter</t>
        </is>
      </c>
      <c r="G46" t="inlineStr">
        <is>
          <t>CSULA-content-manager_eop</t>
        </is>
      </c>
      <c r="H46" t="n">
        <v>1</v>
      </c>
      <c r="I46" t="n">
        <v>2</v>
      </c>
      <c r="J46" t="inlineStr">
        <is>
          <t>No</t>
        </is>
      </c>
      <c r="K46" t="n">
        <v>1</v>
      </c>
      <c r="L46" t="inlineStr">
        <is>
          <t>No</t>
        </is>
      </c>
      <c r="M46" t="inlineStr">
        <is>
          <t>Yes</t>
        </is>
      </c>
      <c r="N46" t="n">
        <v>1</v>
      </c>
      <c r="O46" t="inlineStr">
        <is>
          <t>No</t>
        </is>
      </c>
      <c r="P46" t="n">
        <v>0</v>
      </c>
      <c r="R46" t="n">
        <v>0</v>
      </c>
      <c r="S46" t="n">
        <v>0</v>
      </c>
      <c r="T46" t="n">
        <v>2</v>
      </c>
      <c r="U46" t="inlineStr">
        <is>
          <t>Yes</t>
        </is>
      </c>
      <c r="V46" t="inlineStr">
        <is>
          <t>No</t>
        </is>
      </c>
    </row>
    <row r="47">
      <c r="A47" t="inlineStr">
        <is>
          <t>2025 Annual Security Report</t>
        </is>
      </c>
      <c r="B47" s="1">
        <f>HYPERLINK("https://www.calstatela.edu/sites/default/files/2025%20Annual%20Security%20Report.pdf", "https://www.calstatela.edu/sites/default/files/2025%20Annual%20Security%20Report.pdf")</f>
        <v/>
      </c>
      <c r="C47" s="1">
        <f>HYPERLINK("https://www.calstatela.edu/studenthealthcenter/mental-health-first-aid-training", "https://www.calstatela.edu/studenthealthcenter/mental-health-first-aid-training")</f>
        <v/>
      </c>
      <c r="D47" t="inlineStr">
        <is>
          <t>2026-02-05 20:38:53</t>
        </is>
      </c>
      <c r="E47" t="inlineStr">
        <is>
          <t>d35aba</t>
        </is>
      </c>
      <c r="F47" t="inlineStr">
        <is>
          <t>calstatela.edu_studenthealthcenter</t>
        </is>
      </c>
      <c r="G47" t="inlineStr">
        <is>
          <t>CSULA-content-manager_eop</t>
        </is>
      </c>
      <c r="H47" t="n">
        <v>1</v>
      </c>
      <c r="I47" t="n">
        <v>4</v>
      </c>
      <c r="J47" t="inlineStr">
        <is>
          <t>No</t>
        </is>
      </c>
      <c r="K47" t="n">
        <v>1</v>
      </c>
      <c r="L47" t="inlineStr">
        <is>
          <t>No</t>
        </is>
      </c>
      <c r="M47" t="inlineStr">
        <is>
          <t>Yes</t>
        </is>
      </c>
      <c r="N47" t="n">
        <v>1</v>
      </c>
      <c r="O47" t="inlineStr">
        <is>
          <t>No</t>
        </is>
      </c>
      <c r="P47" t="n">
        <v>0</v>
      </c>
      <c r="R47" t="n">
        <v>0</v>
      </c>
      <c r="S47" t="n">
        <v>0</v>
      </c>
      <c r="T47" t="n">
        <v>4</v>
      </c>
      <c r="U47" t="inlineStr">
        <is>
          <t>Yes</t>
        </is>
      </c>
      <c r="V47" t="inlineStr">
        <is>
          <t>No</t>
        </is>
      </c>
    </row>
    <row r="48">
      <c r="A48" t="inlineStr">
        <is>
          <t>2026 Campus Safety Plan</t>
        </is>
      </c>
      <c r="B48" s="1">
        <f>HYPERLINK("https://www.calstatela.edu/sites/default/files/2026%20Campus%20Safety%20Plan.pdf", "https://www.calstatela.edu/sites/default/files/2026%20Campus%20Safety%20Plan.pdf")</f>
        <v/>
      </c>
      <c r="C48" s="1">
        <f>HYPERLINK("https://www.calstatela.edu/studenthealthcenter/mental-health-first-aid-training", "https://www.calstatela.edu/studenthealthcenter/mental-health-first-aid-training")</f>
        <v/>
      </c>
      <c r="D48" t="inlineStr">
        <is>
          <t>2026-02-05 20:38:53</t>
        </is>
      </c>
      <c r="E48" t="inlineStr">
        <is>
          <t>69529a</t>
        </is>
      </c>
      <c r="F48" t="inlineStr">
        <is>
          <t>calstatela.edu_studenthealthcenter</t>
        </is>
      </c>
      <c r="G48" t="inlineStr">
        <is>
          <t>CSULA-content-manager_eop</t>
        </is>
      </c>
      <c r="H48" t="n">
        <v>1</v>
      </c>
      <c r="I48" t="n">
        <v>2</v>
      </c>
      <c r="J48" t="inlineStr">
        <is>
          <t>No</t>
        </is>
      </c>
      <c r="K48" t="n">
        <v>1</v>
      </c>
      <c r="L48" t="inlineStr">
        <is>
          <t>No</t>
        </is>
      </c>
      <c r="M48" t="inlineStr">
        <is>
          <t>Yes</t>
        </is>
      </c>
      <c r="N48" t="n">
        <v>1</v>
      </c>
      <c r="O48" t="inlineStr">
        <is>
          <t>No</t>
        </is>
      </c>
      <c r="P48" t="n">
        <v>0</v>
      </c>
      <c r="R48" t="n">
        <v>0</v>
      </c>
      <c r="S48" t="n">
        <v>0</v>
      </c>
      <c r="T48" t="n">
        <v>2</v>
      </c>
      <c r="U48" t="inlineStr">
        <is>
          <t>Yes</t>
        </is>
      </c>
      <c r="V48" t="inlineStr">
        <is>
          <t>No</t>
        </is>
      </c>
    </row>
    <row r="49">
      <c r="A49" t="inlineStr">
        <is>
          <t>2025 Annual Security Report</t>
        </is>
      </c>
      <c r="B49" s="1">
        <f>HYPERLINK("https://www.calstatela.edu/sites/default/files/2025%20Annual%20Security%20Report.pdf", "https://www.calstatela.edu/sites/default/files/2025%20Annual%20Security%20Report.pdf")</f>
        <v/>
      </c>
      <c r="C49" s="1">
        <f>HYPERLINK("https://www.calstatela.edu/studenthealthcenter/naloxone-training", "https://www.calstatela.edu/studenthealthcenter/naloxone-training")</f>
        <v/>
      </c>
      <c r="D49" t="inlineStr">
        <is>
          <t>2026-02-05 20:38:53</t>
        </is>
      </c>
      <c r="E49" t="inlineStr">
        <is>
          <t>d35aba</t>
        </is>
      </c>
      <c r="F49" t="inlineStr">
        <is>
          <t>calstatela.edu_studenthealthcenter</t>
        </is>
      </c>
      <c r="G49" t="inlineStr">
        <is>
          <t>CSULA-content-manager_eop</t>
        </is>
      </c>
      <c r="H49" t="n">
        <v>1</v>
      </c>
      <c r="I49" t="n">
        <v>4</v>
      </c>
      <c r="J49" t="inlineStr">
        <is>
          <t>No</t>
        </is>
      </c>
      <c r="K49" t="n">
        <v>1</v>
      </c>
      <c r="L49" t="inlineStr">
        <is>
          <t>No</t>
        </is>
      </c>
      <c r="M49" t="inlineStr">
        <is>
          <t>Yes</t>
        </is>
      </c>
      <c r="N49" t="n">
        <v>1</v>
      </c>
      <c r="O49" t="inlineStr">
        <is>
          <t>No</t>
        </is>
      </c>
      <c r="P49" t="n">
        <v>0</v>
      </c>
      <c r="R49" t="n">
        <v>0</v>
      </c>
      <c r="S49" t="n">
        <v>0</v>
      </c>
      <c r="T49" t="n">
        <v>4</v>
      </c>
      <c r="U49" t="inlineStr">
        <is>
          <t>Yes</t>
        </is>
      </c>
      <c r="V49" t="inlineStr">
        <is>
          <t>No</t>
        </is>
      </c>
    </row>
    <row r="50">
      <c r="A50" t="inlineStr">
        <is>
          <t>2026 Campus Safety Plan</t>
        </is>
      </c>
      <c r="B50" s="1">
        <f>HYPERLINK("https://www.calstatela.edu/sites/default/files/2026%20Campus%20Safety%20Plan.pdf", "https://www.calstatela.edu/sites/default/files/2026%20Campus%20Safety%20Plan.pdf")</f>
        <v/>
      </c>
      <c r="C50" s="1">
        <f>HYPERLINK("https://www.calstatela.edu/studenthealthcenter/naloxone-training", "https://www.calstatela.edu/studenthealthcenter/naloxone-training")</f>
        <v/>
      </c>
      <c r="D50" t="inlineStr">
        <is>
          <t>2026-02-05 20:38:53</t>
        </is>
      </c>
      <c r="E50" t="inlineStr">
        <is>
          <t>69529a</t>
        </is>
      </c>
      <c r="F50" t="inlineStr">
        <is>
          <t>calstatela.edu_studenthealthcenter</t>
        </is>
      </c>
      <c r="G50" t="inlineStr">
        <is>
          <t>CSULA-content-manager_eop</t>
        </is>
      </c>
      <c r="H50" t="n">
        <v>1</v>
      </c>
      <c r="I50" t="n">
        <v>2</v>
      </c>
      <c r="J50" t="inlineStr">
        <is>
          <t>No</t>
        </is>
      </c>
      <c r="K50" t="n">
        <v>1</v>
      </c>
      <c r="L50" t="inlineStr">
        <is>
          <t>No</t>
        </is>
      </c>
      <c r="M50" t="inlineStr">
        <is>
          <t>Yes</t>
        </is>
      </c>
      <c r="N50" t="n">
        <v>1</v>
      </c>
      <c r="O50" t="inlineStr">
        <is>
          <t>No</t>
        </is>
      </c>
      <c r="P50" t="n">
        <v>0</v>
      </c>
      <c r="R50" t="n">
        <v>0</v>
      </c>
      <c r="S50" t="n">
        <v>0</v>
      </c>
      <c r="T50" t="n">
        <v>2</v>
      </c>
      <c r="U50" t="inlineStr">
        <is>
          <t>Yes</t>
        </is>
      </c>
      <c r="V50" t="inlineStr">
        <is>
          <t>No</t>
        </is>
      </c>
    </row>
    <row r="51">
      <c r="A51" t="inlineStr">
        <is>
          <t>2025 Annual Security Report</t>
        </is>
      </c>
      <c r="B51" s="1">
        <f>HYPERLINK("https://www.calstatela.edu/sites/default/files/2025%20Annual%20Security%20Report.pdf", "https://www.calstatela.edu/sites/default/files/2025%20Annual%20Security%20Report.pdf")</f>
        <v/>
      </c>
      <c r="C51" s="1">
        <f>HYPERLINK("https://www.calstatela.edu/studenthealthcenter/our-staff", "https://www.calstatela.edu/studenthealthcenter/our-staff")</f>
        <v/>
      </c>
      <c r="D51" t="inlineStr">
        <is>
          <t>2026-02-05 20:38:16</t>
        </is>
      </c>
      <c r="E51" t="inlineStr">
        <is>
          <t>d35aba</t>
        </is>
      </c>
      <c r="F51" t="inlineStr">
        <is>
          <t>calstatela.edu_studenthealthcenter</t>
        </is>
      </c>
      <c r="G51" t="inlineStr">
        <is>
          <t>CSULA-content-manager_eop</t>
        </is>
      </c>
      <c r="H51" t="n">
        <v>1</v>
      </c>
      <c r="I51" t="n">
        <v>4</v>
      </c>
      <c r="J51" t="inlineStr">
        <is>
          <t>No</t>
        </is>
      </c>
      <c r="K51" t="n">
        <v>1</v>
      </c>
      <c r="L51" t="inlineStr">
        <is>
          <t>No</t>
        </is>
      </c>
      <c r="M51" t="inlineStr">
        <is>
          <t>Yes</t>
        </is>
      </c>
      <c r="N51" t="n">
        <v>1</v>
      </c>
      <c r="O51" t="inlineStr">
        <is>
          <t>No</t>
        </is>
      </c>
      <c r="P51" t="n">
        <v>0</v>
      </c>
      <c r="R51" t="n">
        <v>0</v>
      </c>
      <c r="S51" t="n">
        <v>0</v>
      </c>
      <c r="T51" t="n">
        <v>4</v>
      </c>
      <c r="U51" t="inlineStr">
        <is>
          <t>Yes</t>
        </is>
      </c>
      <c r="V51" t="inlineStr">
        <is>
          <t>No</t>
        </is>
      </c>
    </row>
    <row r="52">
      <c r="A52" t="inlineStr">
        <is>
          <t>2026 Campus Safety Plan</t>
        </is>
      </c>
      <c r="B52" s="1">
        <f>HYPERLINK("https://www.calstatela.edu/sites/default/files/2026%20Campus%20Safety%20Plan.pdf", "https://www.calstatela.edu/sites/default/files/2026%20Campus%20Safety%20Plan.pdf")</f>
        <v/>
      </c>
      <c r="C52" s="1">
        <f>HYPERLINK("https://www.calstatela.edu/studenthealthcenter/our-staff", "https://www.calstatela.edu/studenthealthcenter/our-staff")</f>
        <v/>
      </c>
      <c r="D52" t="inlineStr">
        <is>
          <t>2026-02-05 20:38:16</t>
        </is>
      </c>
      <c r="E52" t="inlineStr">
        <is>
          <t>69529a</t>
        </is>
      </c>
      <c r="F52" t="inlineStr">
        <is>
          <t>calstatela.edu_studenthealthcenter</t>
        </is>
      </c>
      <c r="G52" t="inlineStr">
        <is>
          <t>CSULA-content-manager_eop</t>
        </is>
      </c>
      <c r="H52" t="n">
        <v>1</v>
      </c>
      <c r="I52" t="n">
        <v>2</v>
      </c>
      <c r="J52" t="inlineStr">
        <is>
          <t>No</t>
        </is>
      </c>
      <c r="K52" t="n">
        <v>1</v>
      </c>
      <c r="L52" t="inlineStr">
        <is>
          <t>No</t>
        </is>
      </c>
      <c r="M52" t="inlineStr">
        <is>
          <t>Yes</t>
        </is>
      </c>
      <c r="N52" t="n">
        <v>1</v>
      </c>
      <c r="O52" t="inlineStr">
        <is>
          <t>No</t>
        </is>
      </c>
      <c r="P52" t="n">
        <v>0</v>
      </c>
      <c r="R52" t="n">
        <v>0</v>
      </c>
      <c r="S52" t="n">
        <v>0</v>
      </c>
      <c r="T52" t="n">
        <v>2</v>
      </c>
      <c r="U52" t="inlineStr">
        <is>
          <t>Yes</t>
        </is>
      </c>
      <c r="V52" t="inlineStr">
        <is>
          <t>No</t>
        </is>
      </c>
    </row>
    <row r="53">
      <c r="A53" t="inlineStr">
        <is>
          <t>2025 Annual Security Report</t>
        </is>
      </c>
      <c r="B53" s="1">
        <f>HYPERLINK("https://www.calstatela.edu/sites/default/files/2025%20Annual%20Security%20Report.pdf", "https://www.calstatela.edu/sites/default/files/2025%20Annual%20Security%20Report.pdf")</f>
        <v/>
      </c>
      <c r="C53" s="1">
        <f>HYPERLINK("https://www.calstatela.edu/studenthealthcenter/patient-portal", "https://www.calstatela.edu/studenthealthcenter/patient-portal")</f>
        <v/>
      </c>
      <c r="D53" t="inlineStr">
        <is>
          <t>2026-02-05 20:38:16</t>
        </is>
      </c>
      <c r="E53" t="inlineStr">
        <is>
          <t>d35aba</t>
        </is>
      </c>
      <c r="F53" t="inlineStr">
        <is>
          <t>calstatela.edu_studenthealthcenter</t>
        </is>
      </c>
      <c r="G53" t="inlineStr">
        <is>
          <t>CSULA-content-manager_eop</t>
        </is>
      </c>
      <c r="H53" t="n">
        <v>1</v>
      </c>
      <c r="I53" t="n">
        <v>4</v>
      </c>
      <c r="J53" t="inlineStr">
        <is>
          <t>No</t>
        </is>
      </c>
      <c r="K53" t="n">
        <v>1</v>
      </c>
      <c r="L53" t="inlineStr">
        <is>
          <t>No</t>
        </is>
      </c>
      <c r="M53" t="inlineStr">
        <is>
          <t>Yes</t>
        </is>
      </c>
      <c r="N53" t="n">
        <v>1</v>
      </c>
      <c r="O53" t="inlineStr">
        <is>
          <t>No</t>
        </is>
      </c>
      <c r="P53" t="n">
        <v>0</v>
      </c>
      <c r="R53" t="n">
        <v>0</v>
      </c>
      <c r="S53" t="n">
        <v>0</v>
      </c>
      <c r="T53" t="n">
        <v>4</v>
      </c>
      <c r="U53" t="inlineStr">
        <is>
          <t>Yes</t>
        </is>
      </c>
      <c r="V53" t="inlineStr">
        <is>
          <t>No</t>
        </is>
      </c>
    </row>
    <row r="54">
      <c r="A54" t="inlineStr">
        <is>
          <t>2026 Campus Safety Plan</t>
        </is>
      </c>
      <c r="B54" s="1">
        <f>HYPERLINK("https://www.calstatela.edu/sites/default/files/2026%20Campus%20Safety%20Plan.pdf", "https://www.calstatela.edu/sites/default/files/2026%20Campus%20Safety%20Plan.pdf")</f>
        <v/>
      </c>
      <c r="C54" s="1">
        <f>HYPERLINK("https://www.calstatela.edu/studenthealthcenter/patient-portal", "https://www.calstatela.edu/studenthealthcenter/patient-portal")</f>
        <v/>
      </c>
      <c r="D54" t="inlineStr">
        <is>
          <t>2026-02-05 20:38:16</t>
        </is>
      </c>
      <c r="E54" t="inlineStr">
        <is>
          <t>69529a</t>
        </is>
      </c>
      <c r="F54" t="inlineStr">
        <is>
          <t>calstatela.edu_studenthealthcenter</t>
        </is>
      </c>
      <c r="G54" t="inlineStr">
        <is>
          <t>CSULA-content-manager_eop</t>
        </is>
      </c>
      <c r="H54" t="n">
        <v>1</v>
      </c>
      <c r="I54" t="n">
        <v>2</v>
      </c>
      <c r="J54" t="inlineStr">
        <is>
          <t>No</t>
        </is>
      </c>
      <c r="K54" t="n">
        <v>1</v>
      </c>
      <c r="L54" t="inlineStr">
        <is>
          <t>No</t>
        </is>
      </c>
      <c r="M54" t="inlineStr">
        <is>
          <t>Yes</t>
        </is>
      </c>
      <c r="N54" t="n">
        <v>1</v>
      </c>
      <c r="O54" t="inlineStr">
        <is>
          <t>No</t>
        </is>
      </c>
      <c r="P54" t="n">
        <v>0</v>
      </c>
      <c r="R54" t="n">
        <v>0</v>
      </c>
      <c r="S54" t="n">
        <v>0</v>
      </c>
      <c r="T54" t="n">
        <v>2</v>
      </c>
      <c r="U54" t="inlineStr">
        <is>
          <t>Yes</t>
        </is>
      </c>
      <c r="V54" t="inlineStr">
        <is>
          <t>No</t>
        </is>
      </c>
    </row>
    <row r="55">
      <c r="A55" t="inlineStr">
        <is>
          <t>2025 Annual Security Report</t>
        </is>
      </c>
      <c r="B55" s="1">
        <f>HYPERLINK("https://www.calstatela.edu/sites/default/files/2025%20Annual%20Security%20Report.pdf", "https://www.calstatela.edu/sites/default/files/2025%20Annual%20Security%20Report.pdf")</f>
        <v/>
      </c>
      <c r="C55" s="1">
        <f>HYPERLINK("https://www.calstatela.edu/studenthealthcenter/patient-satisfaction-rights-and-responsibilities", "https://www.calstatela.edu/studenthealthcenter/patient-satisfaction-rights-and-responsibilities")</f>
        <v/>
      </c>
      <c r="D55" t="inlineStr">
        <is>
          <t>2026-02-05 20:38:16</t>
        </is>
      </c>
      <c r="E55" t="inlineStr">
        <is>
          <t>d35aba</t>
        </is>
      </c>
      <c r="F55" t="inlineStr">
        <is>
          <t>calstatela.edu_studenthealthcenter</t>
        </is>
      </c>
      <c r="G55" t="inlineStr">
        <is>
          <t>CSULA-content-manager_eop</t>
        </is>
      </c>
      <c r="H55" t="n">
        <v>1</v>
      </c>
      <c r="I55" t="n">
        <v>4</v>
      </c>
      <c r="J55" t="inlineStr">
        <is>
          <t>No</t>
        </is>
      </c>
      <c r="K55" t="n">
        <v>1</v>
      </c>
      <c r="L55" t="inlineStr">
        <is>
          <t>No</t>
        </is>
      </c>
      <c r="M55" t="inlineStr">
        <is>
          <t>Yes</t>
        </is>
      </c>
      <c r="N55" t="n">
        <v>1</v>
      </c>
      <c r="O55" t="inlineStr">
        <is>
          <t>No</t>
        </is>
      </c>
      <c r="P55" t="n">
        <v>0</v>
      </c>
      <c r="R55" t="n">
        <v>0</v>
      </c>
      <c r="S55" t="n">
        <v>0</v>
      </c>
      <c r="T55" t="n">
        <v>4</v>
      </c>
      <c r="U55" t="inlineStr">
        <is>
          <t>Yes</t>
        </is>
      </c>
      <c r="V55" t="inlineStr">
        <is>
          <t>No</t>
        </is>
      </c>
    </row>
    <row r="56">
      <c r="A56" t="inlineStr">
        <is>
          <t>2026 Campus Safety Plan</t>
        </is>
      </c>
      <c r="B56" s="1">
        <f>HYPERLINK("https://www.calstatela.edu/sites/default/files/2026%20Campus%20Safety%20Plan.pdf", "https://www.calstatela.edu/sites/default/files/2026%20Campus%20Safety%20Plan.pdf")</f>
        <v/>
      </c>
      <c r="C56" s="1">
        <f>HYPERLINK("https://www.calstatela.edu/studenthealthcenter/patient-satisfaction-rights-and-responsibilities", "https://www.calstatela.edu/studenthealthcenter/patient-satisfaction-rights-and-responsibilities")</f>
        <v/>
      </c>
      <c r="D56" t="inlineStr">
        <is>
          <t>2026-02-05 20:38:16</t>
        </is>
      </c>
      <c r="E56" t="inlineStr">
        <is>
          <t>69529a</t>
        </is>
      </c>
      <c r="F56" t="inlineStr">
        <is>
          <t>calstatela.edu_studenthealthcenter</t>
        </is>
      </c>
      <c r="G56" t="inlineStr">
        <is>
          <t>CSULA-content-manager_eop</t>
        </is>
      </c>
      <c r="H56" t="n">
        <v>1</v>
      </c>
      <c r="I56" t="n">
        <v>2</v>
      </c>
      <c r="J56" t="inlineStr">
        <is>
          <t>No</t>
        </is>
      </c>
      <c r="K56" t="n">
        <v>1</v>
      </c>
      <c r="L56" t="inlineStr">
        <is>
          <t>No</t>
        </is>
      </c>
      <c r="M56" t="inlineStr">
        <is>
          <t>Yes</t>
        </is>
      </c>
      <c r="N56" t="n">
        <v>1</v>
      </c>
      <c r="O56" t="inlineStr">
        <is>
          <t>No</t>
        </is>
      </c>
      <c r="P56" t="n">
        <v>0</v>
      </c>
      <c r="R56" t="n">
        <v>0</v>
      </c>
      <c r="S56" t="n">
        <v>0</v>
      </c>
      <c r="T56" t="n">
        <v>2</v>
      </c>
      <c r="U56" t="inlineStr">
        <is>
          <t>Yes</t>
        </is>
      </c>
      <c r="V56" t="inlineStr">
        <is>
          <t>No</t>
        </is>
      </c>
    </row>
    <row r="57">
      <c r="A57" t="inlineStr">
        <is>
          <t>2025 Annual Security Report</t>
        </is>
      </c>
      <c r="B57" s="1">
        <f>HYPERLINK("https://www.calstatela.edu/sites/default/files/2025%20Annual%20Security%20Report.pdf", "https://www.calstatela.edu/sites/default/files/2025%20Annual%20Security%20Report.pdf")</f>
        <v/>
      </c>
      <c r="C57" s="1">
        <f>HYPERLINK("https://www.calstatela.edu/studenthealthcenter/peace-over-violence", "https://www.calstatela.edu/studenthealthcenter/peace-over-violence")</f>
        <v/>
      </c>
      <c r="D57" t="inlineStr">
        <is>
          <t>2026-02-05 20:39:02</t>
        </is>
      </c>
      <c r="E57" t="inlineStr">
        <is>
          <t>d35aba</t>
        </is>
      </c>
      <c r="F57" t="inlineStr">
        <is>
          <t>calstatela.edu_studenthealthcenter</t>
        </is>
      </c>
      <c r="G57" t="inlineStr">
        <is>
          <t>CSULA-content-manager_eop</t>
        </is>
      </c>
      <c r="H57" t="n">
        <v>1</v>
      </c>
      <c r="I57" t="n">
        <v>4</v>
      </c>
      <c r="J57" t="inlineStr">
        <is>
          <t>No</t>
        </is>
      </c>
      <c r="K57" t="n">
        <v>1</v>
      </c>
      <c r="L57" t="inlineStr">
        <is>
          <t>No</t>
        </is>
      </c>
      <c r="M57" t="inlineStr">
        <is>
          <t>Yes</t>
        </is>
      </c>
      <c r="N57" t="n">
        <v>1</v>
      </c>
      <c r="O57" t="inlineStr">
        <is>
          <t>No</t>
        </is>
      </c>
      <c r="P57" t="n">
        <v>0</v>
      </c>
      <c r="R57" t="n">
        <v>0</v>
      </c>
      <c r="S57" t="n">
        <v>0</v>
      </c>
      <c r="T57" t="n">
        <v>4</v>
      </c>
      <c r="U57" t="inlineStr">
        <is>
          <t>Yes</t>
        </is>
      </c>
      <c r="V57" t="inlineStr">
        <is>
          <t>No</t>
        </is>
      </c>
    </row>
    <row r="58">
      <c r="A58" t="inlineStr">
        <is>
          <t>2026 Campus Safety Plan</t>
        </is>
      </c>
      <c r="B58" s="1">
        <f>HYPERLINK("https://www.calstatela.edu/sites/default/files/2026%20Campus%20Safety%20Plan.pdf", "https://www.calstatela.edu/sites/default/files/2026%20Campus%20Safety%20Plan.pdf")</f>
        <v/>
      </c>
      <c r="C58" s="1">
        <f>HYPERLINK("https://www.calstatela.edu/studenthealthcenter/peace-over-violence", "https://www.calstatela.edu/studenthealthcenter/peace-over-violence")</f>
        <v/>
      </c>
      <c r="D58" t="inlineStr">
        <is>
          <t>2026-02-05 20:39:02</t>
        </is>
      </c>
      <c r="E58" t="inlineStr">
        <is>
          <t>69529a</t>
        </is>
      </c>
      <c r="F58" t="inlineStr">
        <is>
          <t>calstatela.edu_studenthealthcenter</t>
        </is>
      </c>
      <c r="G58" t="inlineStr">
        <is>
          <t>CSULA-content-manager_eop</t>
        </is>
      </c>
      <c r="H58" t="n">
        <v>1</v>
      </c>
      <c r="I58" t="n">
        <v>2</v>
      </c>
      <c r="J58" t="inlineStr">
        <is>
          <t>No</t>
        </is>
      </c>
      <c r="K58" t="n">
        <v>1</v>
      </c>
      <c r="L58" t="inlineStr">
        <is>
          <t>No</t>
        </is>
      </c>
      <c r="M58" t="inlineStr">
        <is>
          <t>Yes</t>
        </is>
      </c>
      <c r="N58" t="n">
        <v>1</v>
      </c>
      <c r="O58" t="inlineStr">
        <is>
          <t>No</t>
        </is>
      </c>
      <c r="P58" t="n">
        <v>0</v>
      </c>
      <c r="R58" t="n">
        <v>0</v>
      </c>
      <c r="S58" t="n">
        <v>0</v>
      </c>
      <c r="T58" t="n">
        <v>2</v>
      </c>
      <c r="U58" t="inlineStr">
        <is>
          <t>Yes</t>
        </is>
      </c>
      <c r="V58" t="inlineStr">
        <is>
          <t>No</t>
        </is>
      </c>
    </row>
    <row r="59">
      <c r="A59" t="inlineStr">
        <is>
          <t>2025 Annual Security Report</t>
        </is>
      </c>
      <c r="B59" s="1">
        <f>HYPERLINK("https://www.calstatela.edu/sites/default/files/2025%20Annual%20Security%20Report.pdf", "https://www.calstatela.edu/sites/default/files/2025%20Annual%20Security%20Report.pdf")</f>
        <v/>
      </c>
      <c r="C59" s="1">
        <f>HYPERLINK("https://www.calstatela.edu/studenthealthcenter/ph-4960-internship-program", "https://www.calstatela.edu/studenthealthcenter/ph-4960-internship-program")</f>
        <v/>
      </c>
      <c r="D59" t="inlineStr">
        <is>
          <t>2026-02-05 20:39:02</t>
        </is>
      </c>
      <c r="E59" t="inlineStr">
        <is>
          <t>d35aba</t>
        </is>
      </c>
      <c r="F59" t="inlineStr">
        <is>
          <t>calstatela.edu_studenthealthcenter</t>
        </is>
      </c>
      <c r="G59" t="inlineStr">
        <is>
          <t>CSULA-content-manager_eop</t>
        </is>
      </c>
      <c r="H59" t="n">
        <v>1</v>
      </c>
      <c r="I59" t="n">
        <v>4</v>
      </c>
      <c r="J59" t="inlineStr">
        <is>
          <t>No</t>
        </is>
      </c>
      <c r="K59" t="n">
        <v>1</v>
      </c>
      <c r="L59" t="inlineStr">
        <is>
          <t>No</t>
        </is>
      </c>
      <c r="M59" t="inlineStr">
        <is>
          <t>Yes</t>
        </is>
      </c>
      <c r="N59" t="n">
        <v>1</v>
      </c>
      <c r="O59" t="inlineStr">
        <is>
          <t>No</t>
        </is>
      </c>
      <c r="P59" t="n">
        <v>0</v>
      </c>
      <c r="R59" t="n">
        <v>0</v>
      </c>
      <c r="S59" t="n">
        <v>0</v>
      </c>
      <c r="T59" t="n">
        <v>4</v>
      </c>
      <c r="U59" t="inlineStr">
        <is>
          <t>Yes</t>
        </is>
      </c>
      <c r="V59" t="inlineStr">
        <is>
          <t>No</t>
        </is>
      </c>
    </row>
    <row r="60">
      <c r="A60" t="inlineStr">
        <is>
          <t>2026 Campus Safety Plan</t>
        </is>
      </c>
      <c r="B60" s="1">
        <f>HYPERLINK("https://www.calstatela.edu/sites/default/files/2026%20Campus%20Safety%20Plan.pdf", "https://www.calstatela.edu/sites/default/files/2026%20Campus%20Safety%20Plan.pdf")</f>
        <v/>
      </c>
      <c r="C60" s="1">
        <f>HYPERLINK("https://www.calstatela.edu/studenthealthcenter/ph-4960-internship-program", "https://www.calstatela.edu/studenthealthcenter/ph-4960-internship-program")</f>
        <v/>
      </c>
      <c r="D60" t="inlineStr">
        <is>
          <t>2026-02-05 20:39:02</t>
        </is>
      </c>
      <c r="E60" t="inlineStr">
        <is>
          <t>69529a</t>
        </is>
      </c>
      <c r="F60" t="inlineStr">
        <is>
          <t>calstatela.edu_studenthealthcenter</t>
        </is>
      </c>
      <c r="G60" t="inlineStr">
        <is>
          <t>CSULA-content-manager_eop</t>
        </is>
      </c>
      <c r="H60" t="n">
        <v>1</v>
      </c>
      <c r="I60" t="n">
        <v>2</v>
      </c>
      <c r="J60" t="inlineStr">
        <is>
          <t>No</t>
        </is>
      </c>
      <c r="K60" t="n">
        <v>1</v>
      </c>
      <c r="L60" t="inlineStr">
        <is>
          <t>No</t>
        </is>
      </c>
      <c r="M60" t="inlineStr">
        <is>
          <t>Yes</t>
        </is>
      </c>
      <c r="N60" t="n">
        <v>1</v>
      </c>
      <c r="O60" t="inlineStr">
        <is>
          <t>No</t>
        </is>
      </c>
      <c r="P60" t="n">
        <v>0</v>
      </c>
      <c r="R60" t="n">
        <v>0</v>
      </c>
      <c r="S60" t="n">
        <v>0</v>
      </c>
      <c r="T60" t="n">
        <v>2</v>
      </c>
      <c r="U60" t="inlineStr">
        <is>
          <t>Yes</t>
        </is>
      </c>
      <c r="V60" t="inlineStr">
        <is>
          <t>No</t>
        </is>
      </c>
    </row>
    <row r="61">
      <c r="A61" s="2" t="inlineStr">
        <is>
          <t>splip 1718 insurance summary</t>
        </is>
      </c>
      <c r="B61" s="3">
        <f>HYPERLINK("https://www.calstatela.edu/sites/default/files/splip_-_1718_insurance_summary.pdf", "https://www.calstatela.edu/sites/default/files/splip_-_1718_insurance_summary.pdf")</f>
        <v/>
      </c>
      <c r="C61" s="3">
        <f>HYPERLINK("https://www.calstatela.edu/studenthealthcenter/ph-4960-internship-program", "https://www.calstatela.edu/studenthealthcenter/ph-4960-internship-program")</f>
        <v/>
      </c>
      <c r="D61" s="2" t="inlineStr">
        <is>
          <t>2026-02-05 20:39:02</t>
        </is>
      </c>
      <c r="E61" s="2" t="inlineStr">
        <is>
          <t>dc71ae</t>
        </is>
      </c>
      <c r="F61" s="2" t="inlineStr">
        <is>
          <t>calstatela.edu_studenthealthcenter</t>
        </is>
      </c>
      <c r="G61" s="2" t="inlineStr">
        <is>
          <t>CSULA-content-manager_eop</t>
        </is>
      </c>
      <c r="H61" s="2" t="n">
        <v>1</v>
      </c>
      <c r="I61" s="2" t="n">
        <v>7</v>
      </c>
      <c r="J61" s="2" t="inlineStr">
        <is>
          <t>No</t>
        </is>
      </c>
      <c r="K61" s="2" t="n">
        <v>1</v>
      </c>
      <c r="L61" s="2" t="inlineStr">
        <is>
          <t>No</t>
        </is>
      </c>
      <c r="M61" s="2" t="inlineStr">
        <is>
          <t>No</t>
        </is>
      </c>
      <c r="N61" s="2" t="n">
        <v>1</v>
      </c>
      <c r="O61" s="2" t="inlineStr">
        <is>
          <t>No</t>
        </is>
      </c>
      <c r="P61" s="2" t="n">
        <v>0</v>
      </c>
      <c r="Q61" s="2" t="n"/>
      <c r="R61" s="2" t="n">
        <v>0</v>
      </c>
      <c r="S61" s="2" t="n">
        <v>0</v>
      </c>
      <c r="T61" s="2" t="n">
        <v>7</v>
      </c>
      <c r="U61" s="2" t="inlineStr">
        <is>
          <t>No</t>
        </is>
      </c>
      <c r="V61" s="2" t="inlineStr">
        <is>
          <t>No</t>
        </is>
      </c>
    </row>
    <row r="62">
      <c r="A62" s="2" t="inlineStr">
        <is>
          <t>1.13.23 notice</t>
        </is>
      </c>
      <c r="B62" s="3">
        <f>HYPERLINK("https://www.calstatela.edu/sites/default/files/1.13.23_notice.pdf", "https://www.calstatela.edu/sites/default/files/1.13.23_notice.pdf")</f>
        <v/>
      </c>
      <c r="C62" s="3">
        <f>HYPERLINK("https://www.calstatela.edu/studenthealthcenter/privacy-notice", "https://www.calstatela.edu/studenthealthcenter/privacy-notice")</f>
        <v/>
      </c>
      <c r="D62" s="2" t="inlineStr">
        <is>
          <t>2026-02-05 20:38:22</t>
        </is>
      </c>
      <c r="E62" s="2" t="inlineStr">
        <is>
          <t>7f2cf0</t>
        </is>
      </c>
      <c r="F62" s="2" t="inlineStr">
        <is>
          <t>calstatela.edu_studenthealthcenter</t>
        </is>
      </c>
      <c r="G62" s="2" t="inlineStr">
        <is>
          <t>CSULA-content-manager_eop</t>
        </is>
      </c>
      <c r="H62" s="2" t="n">
        <v>1</v>
      </c>
      <c r="I62" s="2" t="n">
        <v>6</v>
      </c>
      <c r="J62" s="2" t="inlineStr">
        <is>
          <t>No</t>
        </is>
      </c>
      <c r="K62" s="2" t="n">
        <v>0</v>
      </c>
      <c r="L62" s="2" t="inlineStr">
        <is>
          <t>No</t>
        </is>
      </c>
      <c r="M62" s="2" t="inlineStr">
        <is>
          <t>Yes</t>
        </is>
      </c>
      <c r="N62" s="2" t="n">
        <v>0</v>
      </c>
      <c r="O62" s="2" t="inlineStr">
        <is>
          <t>No</t>
        </is>
      </c>
      <c r="P62" s="2" t="n">
        <v>0</v>
      </c>
      <c r="Q62" s="2" t="n"/>
      <c r="R62" s="2" t="n">
        <v>0</v>
      </c>
      <c r="S62" s="2" t="n">
        <v>0</v>
      </c>
      <c r="T62" s="2" t="n">
        <v>0</v>
      </c>
      <c r="U62" s="2" t="inlineStr">
        <is>
          <t>No</t>
        </is>
      </c>
      <c r="V62" s="2" t="inlineStr">
        <is>
          <t>No</t>
        </is>
      </c>
    </row>
    <row r="63">
      <c r="A63" t="inlineStr">
        <is>
          <t>2025 Annual Security Report</t>
        </is>
      </c>
      <c r="B63" s="1">
        <f>HYPERLINK("https://www.calstatela.edu/sites/default/files/2025%20Annual%20Security%20Report.pdf", "https://www.calstatela.edu/sites/default/files/2025%20Annual%20Security%20Report.pdf")</f>
        <v/>
      </c>
      <c r="C63" s="1">
        <f>HYPERLINK("https://www.calstatela.edu/studenthealthcenter/privacy-notice", "https://www.calstatela.edu/studenthealthcenter/privacy-notice")</f>
        <v/>
      </c>
      <c r="D63" t="inlineStr">
        <is>
          <t>2026-02-05 20:38:22</t>
        </is>
      </c>
      <c r="E63" t="inlineStr">
        <is>
          <t>d35aba</t>
        </is>
      </c>
      <c r="F63" t="inlineStr">
        <is>
          <t>calstatela.edu_studenthealthcenter</t>
        </is>
      </c>
      <c r="G63" t="inlineStr">
        <is>
          <t>CSULA-content-manager_eop</t>
        </is>
      </c>
      <c r="H63" t="n">
        <v>1</v>
      </c>
      <c r="I63" t="n">
        <v>4</v>
      </c>
      <c r="J63" t="inlineStr">
        <is>
          <t>No</t>
        </is>
      </c>
      <c r="K63" t="n">
        <v>1</v>
      </c>
      <c r="L63" t="inlineStr">
        <is>
          <t>No</t>
        </is>
      </c>
      <c r="M63" t="inlineStr">
        <is>
          <t>Yes</t>
        </is>
      </c>
      <c r="N63" t="n">
        <v>1</v>
      </c>
      <c r="O63" t="inlineStr">
        <is>
          <t>No</t>
        </is>
      </c>
      <c r="P63" t="n">
        <v>0</v>
      </c>
      <c r="R63" t="n">
        <v>0</v>
      </c>
      <c r="S63" t="n">
        <v>0</v>
      </c>
      <c r="T63" t="n">
        <v>4</v>
      </c>
      <c r="U63" t="inlineStr">
        <is>
          <t>Yes</t>
        </is>
      </c>
      <c r="V63" t="inlineStr">
        <is>
          <t>No</t>
        </is>
      </c>
    </row>
    <row r="64">
      <c r="A64" t="inlineStr">
        <is>
          <t>2026 Campus Safety Plan</t>
        </is>
      </c>
      <c r="B64" s="1">
        <f>HYPERLINK("https://www.calstatela.edu/sites/default/files/2026%20Campus%20Safety%20Plan.pdf", "https://www.calstatela.edu/sites/default/files/2026%20Campus%20Safety%20Plan.pdf")</f>
        <v/>
      </c>
      <c r="C64" s="1">
        <f>HYPERLINK("https://www.calstatela.edu/studenthealthcenter/privacy-notice", "https://www.calstatela.edu/studenthealthcenter/privacy-notice")</f>
        <v/>
      </c>
      <c r="D64" t="inlineStr">
        <is>
          <t>2026-02-05 20:38:22</t>
        </is>
      </c>
      <c r="E64" t="inlineStr">
        <is>
          <t>69529a</t>
        </is>
      </c>
      <c r="F64" t="inlineStr">
        <is>
          <t>calstatela.edu_studenthealthcenter</t>
        </is>
      </c>
      <c r="G64" t="inlineStr">
        <is>
          <t>CSULA-content-manager_eop</t>
        </is>
      </c>
      <c r="H64" t="n">
        <v>1</v>
      </c>
      <c r="I64" t="n">
        <v>2</v>
      </c>
      <c r="J64" t="inlineStr">
        <is>
          <t>No</t>
        </is>
      </c>
      <c r="K64" t="n">
        <v>1</v>
      </c>
      <c r="L64" t="inlineStr">
        <is>
          <t>No</t>
        </is>
      </c>
      <c r="M64" t="inlineStr">
        <is>
          <t>Yes</t>
        </is>
      </c>
      <c r="N64" t="n">
        <v>1</v>
      </c>
      <c r="O64" t="inlineStr">
        <is>
          <t>No</t>
        </is>
      </c>
      <c r="P64" t="n">
        <v>0</v>
      </c>
      <c r="R64" t="n">
        <v>0</v>
      </c>
      <c r="S64" t="n">
        <v>0</v>
      </c>
      <c r="T64" t="n">
        <v>2</v>
      </c>
      <c r="U64" t="inlineStr">
        <is>
          <t>Yes</t>
        </is>
      </c>
      <c r="V64" t="inlineStr">
        <is>
          <t>No</t>
        </is>
      </c>
    </row>
    <row r="65">
      <c r="A65" t="inlineStr">
        <is>
          <t>2025 Annual Security Report</t>
        </is>
      </c>
      <c r="B65" s="1">
        <f>HYPERLINK("https://www.calstatela.edu/sites/default/files/2025%20Annual%20Security%20Report.pdf", "https://www.calstatela.edu/sites/default/files/2025%20Annual%20Security%20Report.pdf")</f>
        <v/>
      </c>
      <c r="C65" s="1">
        <f>HYPERLINK("https://www.calstatela.edu/studenthealthcenter/safe", "https://www.calstatela.edu/studenthealthcenter/safe")</f>
        <v/>
      </c>
      <c r="D65" t="inlineStr">
        <is>
          <t>2026-02-05 20:38:16</t>
        </is>
      </c>
      <c r="E65" t="inlineStr">
        <is>
          <t>d35aba</t>
        </is>
      </c>
      <c r="F65" t="inlineStr">
        <is>
          <t>calstatela.edu_studenthealthcenter</t>
        </is>
      </c>
      <c r="G65" t="inlineStr">
        <is>
          <t>CSULA-content-manager_eop</t>
        </is>
      </c>
      <c r="H65" t="n">
        <v>1</v>
      </c>
      <c r="I65" t="n">
        <v>4</v>
      </c>
      <c r="J65" t="inlineStr">
        <is>
          <t>No</t>
        </is>
      </c>
      <c r="K65" t="n">
        <v>1</v>
      </c>
      <c r="L65" t="inlineStr">
        <is>
          <t>No</t>
        </is>
      </c>
      <c r="M65" t="inlineStr">
        <is>
          <t>Yes</t>
        </is>
      </c>
      <c r="N65" t="n">
        <v>1</v>
      </c>
      <c r="O65" t="inlineStr">
        <is>
          <t>No</t>
        </is>
      </c>
      <c r="P65" t="n">
        <v>0</v>
      </c>
      <c r="R65" t="n">
        <v>0</v>
      </c>
      <c r="S65" t="n">
        <v>0</v>
      </c>
      <c r="T65" t="n">
        <v>4</v>
      </c>
      <c r="U65" t="inlineStr">
        <is>
          <t>Yes</t>
        </is>
      </c>
      <c r="V65" t="inlineStr">
        <is>
          <t>No</t>
        </is>
      </c>
    </row>
    <row r="66">
      <c r="A66" t="inlineStr">
        <is>
          <t>2026 Campus Safety Plan</t>
        </is>
      </c>
      <c r="B66" s="1">
        <f>HYPERLINK("https://www.calstatela.edu/sites/default/files/2026%20Campus%20Safety%20Plan.pdf", "https://www.calstatela.edu/sites/default/files/2026%20Campus%20Safety%20Plan.pdf")</f>
        <v/>
      </c>
      <c r="C66" s="1">
        <f>HYPERLINK("https://www.calstatela.edu/studenthealthcenter/safe", "https://www.calstatela.edu/studenthealthcenter/safe")</f>
        <v/>
      </c>
      <c r="D66" t="inlineStr">
        <is>
          <t>2026-02-05 20:38:16</t>
        </is>
      </c>
      <c r="E66" t="inlineStr">
        <is>
          <t>69529a</t>
        </is>
      </c>
      <c r="F66" t="inlineStr">
        <is>
          <t>calstatela.edu_studenthealthcenter</t>
        </is>
      </c>
      <c r="G66" t="inlineStr">
        <is>
          <t>CSULA-content-manager_eop</t>
        </is>
      </c>
      <c r="H66" t="n">
        <v>1</v>
      </c>
      <c r="I66" t="n">
        <v>2</v>
      </c>
      <c r="J66" t="inlineStr">
        <is>
          <t>No</t>
        </is>
      </c>
      <c r="K66" t="n">
        <v>1</v>
      </c>
      <c r="L66" t="inlineStr">
        <is>
          <t>No</t>
        </is>
      </c>
      <c r="M66" t="inlineStr">
        <is>
          <t>Yes</t>
        </is>
      </c>
      <c r="N66" t="n">
        <v>1</v>
      </c>
      <c r="O66" t="inlineStr">
        <is>
          <t>No</t>
        </is>
      </c>
      <c r="P66" t="n">
        <v>0</v>
      </c>
      <c r="R66" t="n">
        <v>0</v>
      </c>
      <c r="S66" t="n">
        <v>0</v>
      </c>
      <c r="T66" t="n">
        <v>2</v>
      </c>
      <c r="U66" t="inlineStr">
        <is>
          <t>Yes</t>
        </is>
      </c>
      <c r="V66" t="inlineStr">
        <is>
          <t>No</t>
        </is>
      </c>
    </row>
    <row r="67">
      <c r="A67" t="inlineStr">
        <is>
          <t>2025 Annual Security Report</t>
        </is>
      </c>
      <c r="B67" s="1">
        <f>HYPERLINK("https://www.calstatela.edu/sites/default/files/2025%20Annual%20Security%20Report.pdf", "https://www.calstatela.edu/sites/default/files/2025%20Annual%20Security%20Report.pdf")</f>
        <v/>
      </c>
      <c r="C67" s="1">
        <f>HYPERLINK("https://www.calstatela.edu/studenthealthcenter/safe/24-hour-hotlines-and-local-services", "https://www.calstatela.edu/studenthealthcenter/safe/24-hour-hotlines-and-local-services")</f>
        <v/>
      </c>
      <c r="D67" t="inlineStr">
        <is>
          <t>2026-02-05 20:39:02</t>
        </is>
      </c>
      <c r="E67" t="inlineStr">
        <is>
          <t>d35aba</t>
        </is>
      </c>
      <c r="F67" t="inlineStr">
        <is>
          <t>calstatela.edu_studenthealthcenter</t>
        </is>
      </c>
      <c r="G67" t="inlineStr">
        <is>
          <t>CSULA-content-manager_eop</t>
        </is>
      </c>
      <c r="H67" t="n">
        <v>1</v>
      </c>
      <c r="I67" t="n">
        <v>4</v>
      </c>
      <c r="J67" t="inlineStr">
        <is>
          <t>No</t>
        </is>
      </c>
      <c r="K67" t="n">
        <v>1</v>
      </c>
      <c r="L67" t="inlineStr">
        <is>
          <t>No</t>
        </is>
      </c>
      <c r="M67" t="inlineStr">
        <is>
          <t>Yes</t>
        </is>
      </c>
      <c r="N67" t="n">
        <v>1</v>
      </c>
      <c r="O67" t="inlineStr">
        <is>
          <t>No</t>
        </is>
      </c>
      <c r="P67" t="n">
        <v>0</v>
      </c>
      <c r="R67" t="n">
        <v>0</v>
      </c>
      <c r="S67" t="n">
        <v>0</v>
      </c>
      <c r="T67" t="n">
        <v>4</v>
      </c>
      <c r="U67" t="inlineStr">
        <is>
          <t>Yes</t>
        </is>
      </c>
      <c r="V67" t="inlineStr">
        <is>
          <t>No</t>
        </is>
      </c>
    </row>
    <row r="68">
      <c r="A68" t="inlineStr">
        <is>
          <t>2026 Campus Safety Plan</t>
        </is>
      </c>
      <c r="B68" s="1">
        <f>HYPERLINK("https://www.calstatela.edu/sites/default/files/2026%20Campus%20Safety%20Plan.pdf", "https://www.calstatela.edu/sites/default/files/2026%20Campus%20Safety%20Plan.pdf")</f>
        <v/>
      </c>
      <c r="C68" s="1">
        <f>HYPERLINK("https://www.calstatela.edu/studenthealthcenter/safe/24-hour-hotlines-and-local-services", "https://www.calstatela.edu/studenthealthcenter/safe/24-hour-hotlines-and-local-services")</f>
        <v/>
      </c>
      <c r="D68" t="inlineStr">
        <is>
          <t>2026-02-05 20:39:02</t>
        </is>
      </c>
      <c r="E68" t="inlineStr">
        <is>
          <t>69529a</t>
        </is>
      </c>
      <c r="F68" t="inlineStr">
        <is>
          <t>calstatela.edu_studenthealthcenter</t>
        </is>
      </c>
      <c r="G68" t="inlineStr">
        <is>
          <t>CSULA-content-manager_eop</t>
        </is>
      </c>
      <c r="H68" t="n">
        <v>1</v>
      </c>
      <c r="I68" t="n">
        <v>2</v>
      </c>
      <c r="J68" t="inlineStr">
        <is>
          <t>No</t>
        </is>
      </c>
      <c r="K68" t="n">
        <v>1</v>
      </c>
      <c r="L68" t="inlineStr">
        <is>
          <t>No</t>
        </is>
      </c>
      <c r="M68" t="inlineStr">
        <is>
          <t>Yes</t>
        </is>
      </c>
      <c r="N68" t="n">
        <v>1</v>
      </c>
      <c r="O68" t="inlineStr">
        <is>
          <t>No</t>
        </is>
      </c>
      <c r="P68" t="n">
        <v>0</v>
      </c>
      <c r="R68" t="n">
        <v>0</v>
      </c>
      <c r="S68" t="n">
        <v>0</v>
      </c>
      <c r="T68" t="n">
        <v>2</v>
      </c>
      <c r="U68" t="inlineStr">
        <is>
          <t>Yes</t>
        </is>
      </c>
      <c r="V68" t="inlineStr">
        <is>
          <t>No</t>
        </is>
      </c>
    </row>
    <row r="69">
      <c r="A69" t="inlineStr">
        <is>
          <t>2025 Annual Security Report</t>
        </is>
      </c>
      <c r="B69" s="1">
        <f>HYPERLINK("https://www.calstatela.edu/sites/default/files/2025%20Annual%20Security%20Report.pdf", "https://www.calstatela.edu/sites/default/files/2025%20Annual%20Security%20Report.pdf")</f>
        <v/>
      </c>
      <c r="C69" s="1">
        <f>HYPERLINK("https://www.calstatela.edu/studenthealthcenter/safe/education-awareness", "https://www.calstatela.edu/studenthealthcenter/safe/education-awareness")</f>
        <v/>
      </c>
      <c r="D69" t="inlineStr">
        <is>
          <t>2026-02-05 20:39:02</t>
        </is>
      </c>
      <c r="E69" t="inlineStr">
        <is>
          <t>d35aba</t>
        </is>
      </c>
      <c r="F69" t="inlineStr">
        <is>
          <t>calstatela.edu_studenthealthcenter</t>
        </is>
      </c>
      <c r="G69" t="inlineStr">
        <is>
          <t>CSULA-content-manager_eop</t>
        </is>
      </c>
      <c r="H69" t="n">
        <v>1</v>
      </c>
      <c r="I69" t="n">
        <v>4</v>
      </c>
      <c r="J69" t="inlineStr">
        <is>
          <t>No</t>
        </is>
      </c>
      <c r="K69" t="n">
        <v>1</v>
      </c>
      <c r="L69" t="inlineStr">
        <is>
          <t>No</t>
        </is>
      </c>
      <c r="M69" t="inlineStr">
        <is>
          <t>Yes</t>
        </is>
      </c>
      <c r="N69" t="n">
        <v>1</v>
      </c>
      <c r="O69" t="inlineStr">
        <is>
          <t>No</t>
        </is>
      </c>
      <c r="P69" t="n">
        <v>0</v>
      </c>
      <c r="R69" t="n">
        <v>0</v>
      </c>
      <c r="S69" t="n">
        <v>0</v>
      </c>
      <c r="T69" t="n">
        <v>4</v>
      </c>
      <c r="U69" t="inlineStr">
        <is>
          <t>Yes</t>
        </is>
      </c>
      <c r="V69" t="inlineStr">
        <is>
          <t>No</t>
        </is>
      </c>
    </row>
    <row r="70">
      <c r="A70" t="inlineStr">
        <is>
          <t>2026 Campus Safety Plan</t>
        </is>
      </c>
      <c r="B70" s="1">
        <f>HYPERLINK("https://www.calstatela.edu/sites/default/files/2026%20Campus%20Safety%20Plan.pdf", "https://www.calstatela.edu/sites/default/files/2026%20Campus%20Safety%20Plan.pdf")</f>
        <v/>
      </c>
      <c r="C70" s="1">
        <f>HYPERLINK("https://www.calstatela.edu/studenthealthcenter/safe/education-awareness", "https://www.calstatela.edu/studenthealthcenter/safe/education-awareness")</f>
        <v/>
      </c>
      <c r="D70" t="inlineStr">
        <is>
          <t>2026-02-05 20:39:02</t>
        </is>
      </c>
      <c r="E70" t="inlineStr">
        <is>
          <t>69529a</t>
        </is>
      </c>
      <c r="F70" t="inlineStr">
        <is>
          <t>calstatela.edu_studenthealthcenter</t>
        </is>
      </c>
      <c r="G70" t="inlineStr">
        <is>
          <t>CSULA-content-manager_eop</t>
        </is>
      </c>
      <c r="H70" t="n">
        <v>1</v>
      </c>
      <c r="I70" t="n">
        <v>2</v>
      </c>
      <c r="J70" t="inlineStr">
        <is>
          <t>No</t>
        </is>
      </c>
      <c r="K70" t="n">
        <v>1</v>
      </c>
      <c r="L70" t="inlineStr">
        <is>
          <t>No</t>
        </is>
      </c>
      <c r="M70" t="inlineStr">
        <is>
          <t>Yes</t>
        </is>
      </c>
      <c r="N70" t="n">
        <v>1</v>
      </c>
      <c r="O70" t="inlineStr">
        <is>
          <t>No</t>
        </is>
      </c>
      <c r="P70" t="n">
        <v>0</v>
      </c>
      <c r="R70" t="n">
        <v>0</v>
      </c>
      <c r="S70" t="n">
        <v>0</v>
      </c>
      <c r="T70" t="n">
        <v>2</v>
      </c>
      <c r="U70" t="inlineStr">
        <is>
          <t>Yes</t>
        </is>
      </c>
      <c r="V70" t="inlineStr">
        <is>
          <t>No</t>
        </is>
      </c>
    </row>
    <row r="71">
      <c r="A71" t="inlineStr">
        <is>
          <t>2025 Annual Security Report</t>
        </is>
      </c>
      <c r="B71" s="1">
        <f>HYPERLINK("https://www.calstatela.edu/sites/default/files/2025%20Annual%20Security%20Report.pdf", "https://www.calstatela.edu/sites/default/files/2025%20Annual%20Security%20Report.pdf")</f>
        <v/>
      </c>
      <c r="C71" s="1">
        <f>HYPERLINK("https://www.calstatela.edu/studenthealthcenter/safe/resources", "https://www.calstatela.edu/studenthealthcenter/safe/resources")</f>
        <v/>
      </c>
      <c r="D71" t="inlineStr">
        <is>
          <t>2026-02-05 20:39:09</t>
        </is>
      </c>
      <c r="E71" t="inlineStr">
        <is>
          <t>d35aba</t>
        </is>
      </c>
      <c r="F71" t="inlineStr">
        <is>
          <t>calstatela.edu_studenthealthcenter</t>
        </is>
      </c>
      <c r="G71" t="inlineStr">
        <is>
          <t>CSULA-content-manager_eop</t>
        </is>
      </c>
      <c r="H71" t="n">
        <v>1</v>
      </c>
      <c r="I71" t="n">
        <v>4</v>
      </c>
      <c r="J71" t="inlineStr">
        <is>
          <t>No</t>
        </is>
      </c>
      <c r="K71" t="n">
        <v>1</v>
      </c>
      <c r="L71" t="inlineStr">
        <is>
          <t>No</t>
        </is>
      </c>
      <c r="M71" t="inlineStr">
        <is>
          <t>Yes</t>
        </is>
      </c>
      <c r="N71" t="n">
        <v>1</v>
      </c>
      <c r="O71" t="inlineStr">
        <is>
          <t>No</t>
        </is>
      </c>
      <c r="P71" t="n">
        <v>0</v>
      </c>
      <c r="R71" t="n">
        <v>0</v>
      </c>
      <c r="S71" t="n">
        <v>0</v>
      </c>
      <c r="T71" t="n">
        <v>4</v>
      </c>
      <c r="U71" t="inlineStr">
        <is>
          <t>Yes</t>
        </is>
      </c>
      <c r="V71" t="inlineStr">
        <is>
          <t>No</t>
        </is>
      </c>
    </row>
    <row r="72">
      <c r="A72" t="inlineStr">
        <is>
          <t>2026 Campus Safety Plan</t>
        </is>
      </c>
      <c r="B72" s="1">
        <f>HYPERLINK("https://www.calstatela.edu/sites/default/files/2026%20Campus%20Safety%20Plan.pdf", "https://www.calstatela.edu/sites/default/files/2026%20Campus%20Safety%20Plan.pdf")</f>
        <v/>
      </c>
      <c r="C72" s="1">
        <f>HYPERLINK("https://www.calstatela.edu/studenthealthcenter/safe/resources", "https://www.calstatela.edu/studenthealthcenter/safe/resources")</f>
        <v/>
      </c>
      <c r="D72" t="inlineStr">
        <is>
          <t>2026-02-05 20:39:09</t>
        </is>
      </c>
      <c r="E72" t="inlineStr">
        <is>
          <t>69529a</t>
        </is>
      </c>
      <c r="F72" t="inlineStr">
        <is>
          <t>calstatela.edu_studenthealthcenter</t>
        </is>
      </c>
      <c r="G72" t="inlineStr">
        <is>
          <t>CSULA-content-manager_eop</t>
        </is>
      </c>
      <c r="H72" t="n">
        <v>1</v>
      </c>
      <c r="I72" t="n">
        <v>2</v>
      </c>
      <c r="J72" t="inlineStr">
        <is>
          <t>No</t>
        </is>
      </c>
      <c r="K72" t="n">
        <v>1</v>
      </c>
      <c r="L72" t="inlineStr">
        <is>
          <t>No</t>
        </is>
      </c>
      <c r="M72" t="inlineStr">
        <is>
          <t>Yes</t>
        </is>
      </c>
      <c r="N72" t="n">
        <v>1</v>
      </c>
      <c r="O72" t="inlineStr">
        <is>
          <t>No</t>
        </is>
      </c>
      <c r="P72" t="n">
        <v>0</v>
      </c>
      <c r="R72" t="n">
        <v>0</v>
      </c>
      <c r="S72" t="n">
        <v>0</v>
      </c>
      <c r="T72" t="n">
        <v>2</v>
      </c>
      <c r="U72" t="inlineStr">
        <is>
          <t>Yes</t>
        </is>
      </c>
      <c r="V72" t="inlineStr">
        <is>
          <t>No</t>
        </is>
      </c>
    </row>
    <row r="73">
      <c r="A73" t="inlineStr">
        <is>
          <t>2025 Annual Security Report</t>
        </is>
      </c>
      <c r="B73" s="1">
        <f>HYPERLINK("https://www.calstatela.edu/sites/default/files/2025%20Annual%20Security%20Report.pdf", "https://www.calstatela.edu/sites/default/files/2025%20Annual%20Security%20Report.pdf")</f>
        <v/>
      </c>
      <c r="C73" s="1">
        <f>HYPERLINK("https://www.calstatela.edu/studenthealthcenter/safe/survivor-assistance-student-health-center", "https://www.calstatela.edu/studenthealthcenter/safe/survivor-assistance-student-health-center")</f>
        <v/>
      </c>
      <c r="D73" t="inlineStr">
        <is>
          <t>2026-02-05 20:39:09</t>
        </is>
      </c>
      <c r="E73" t="inlineStr">
        <is>
          <t>d35aba</t>
        </is>
      </c>
      <c r="F73" t="inlineStr">
        <is>
          <t>calstatela.edu_studenthealthcenter</t>
        </is>
      </c>
      <c r="G73" t="inlineStr">
        <is>
          <t>CSULA-content-manager_eop</t>
        </is>
      </c>
      <c r="H73" t="n">
        <v>1</v>
      </c>
      <c r="I73" t="n">
        <v>4</v>
      </c>
      <c r="J73" t="inlineStr">
        <is>
          <t>No</t>
        </is>
      </c>
      <c r="K73" t="n">
        <v>1</v>
      </c>
      <c r="L73" t="inlineStr">
        <is>
          <t>No</t>
        </is>
      </c>
      <c r="M73" t="inlineStr">
        <is>
          <t>Yes</t>
        </is>
      </c>
      <c r="N73" t="n">
        <v>1</v>
      </c>
      <c r="O73" t="inlineStr">
        <is>
          <t>No</t>
        </is>
      </c>
      <c r="P73" t="n">
        <v>0</v>
      </c>
      <c r="R73" t="n">
        <v>0</v>
      </c>
      <c r="S73" t="n">
        <v>0</v>
      </c>
      <c r="T73" t="n">
        <v>4</v>
      </c>
      <c r="U73" t="inlineStr">
        <is>
          <t>Yes</t>
        </is>
      </c>
      <c r="V73" t="inlineStr">
        <is>
          <t>No</t>
        </is>
      </c>
    </row>
    <row r="74">
      <c r="A74" t="inlineStr">
        <is>
          <t>2026 Campus Safety Plan</t>
        </is>
      </c>
      <c r="B74" s="1">
        <f>HYPERLINK("https://www.calstatela.edu/sites/default/files/2026%20Campus%20Safety%20Plan.pdf", "https://www.calstatela.edu/sites/default/files/2026%20Campus%20Safety%20Plan.pdf")</f>
        <v/>
      </c>
      <c r="C74" s="1">
        <f>HYPERLINK("https://www.calstatela.edu/studenthealthcenter/safe/survivor-assistance-student-health-center", "https://www.calstatela.edu/studenthealthcenter/safe/survivor-assistance-student-health-center")</f>
        <v/>
      </c>
      <c r="D74" t="inlineStr">
        <is>
          <t>2026-02-05 20:39:09</t>
        </is>
      </c>
      <c r="E74" t="inlineStr">
        <is>
          <t>69529a</t>
        </is>
      </c>
      <c r="F74" t="inlineStr">
        <is>
          <t>calstatela.edu_studenthealthcenter</t>
        </is>
      </c>
      <c r="G74" t="inlineStr">
        <is>
          <t>CSULA-content-manager_eop</t>
        </is>
      </c>
      <c r="H74" t="n">
        <v>1</v>
      </c>
      <c r="I74" t="n">
        <v>2</v>
      </c>
      <c r="J74" t="inlineStr">
        <is>
          <t>No</t>
        </is>
      </c>
      <c r="K74" t="n">
        <v>1</v>
      </c>
      <c r="L74" t="inlineStr">
        <is>
          <t>No</t>
        </is>
      </c>
      <c r="M74" t="inlineStr">
        <is>
          <t>Yes</t>
        </is>
      </c>
      <c r="N74" t="n">
        <v>1</v>
      </c>
      <c r="O74" t="inlineStr">
        <is>
          <t>No</t>
        </is>
      </c>
      <c r="P74" t="n">
        <v>0</v>
      </c>
      <c r="R74" t="n">
        <v>0</v>
      </c>
      <c r="S74" t="n">
        <v>0</v>
      </c>
      <c r="T74" t="n">
        <v>2</v>
      </c>
      <c r="U74" t="inlineStr">
        <is>
          <t>Yes</t>
        </is>
      </c>
      <c r="V74" t="inlineStr">
        <is>
          <t>No</t>
        </is>
      </c>
    </row>
    <row r="75">
      <c r="A75" s="2" t="inlineStr">
        <is>
          <t>oedi rights and options 2022</t>
        </is>
      </c>
      <c r="B75" s="3">
        <f>HYPERLINK("https://www.calstatela.edu/sites/default/files/oedi_rights_and_options_2022.pdf", "https://www.calstatela.edu/sites/default/files/oedi_rights_and_options_2022.pdf")</f>
        <v/>
      </c>
      <c r="C75" s="3">
        <f>HYPERLINK("https://www.calstatela.edu/studenthealthcenter/safe/survivor-assistance-student-health-center", "https://www.calstatela.edu/studenthealthcenter/safe/survivor-assistance-student-health-center")</f>
        <v/>
      </c>
      <c r="D75" s="2" t="inlineStr">
        <is>
          <t>2026-02-05 20:39:09</t>
        </is>
      </c>
      <c r="E75" s="2" t="inlineStr">
        <is>
          <t>87e5b5</t>
        </is>
      </c>
      <c r="F75" s="2" t="inlineStr">
        <is>
          <t>calstatela.edu_studenthealthcenter</t>
        </is>
      </c>
      <c r="G75" s="2" t="inlineStr">
        <is>
          <t>CSULA-content-manager_eop</t>
        </is>
      </c>
      <c r="H75" s="2" t="n">
        <v>1</v>
      </c>
      <c r="I75" s="2" t="n">
        <v>6</v>
      </c>
      <c r="J75" s="2" t="inlineStr">
        <is>
          <t>No</t>
        </is>
      </c>
      <c r="K75" s="2" t="n">
        <v>0</v>
      </c>
      <c r="L75" s="2" t="inlineStr">
        <is>
          <t>No</t>
        </is>
      </c>
      <c r="M75" s="2" t="inlineStr">
        <is>
          <t>Yes</t>
        </is>
      </c>
      <c r="N75" s="2" t="n">
        <v>0</v>
      </c>
      <c r="O75" s="2" t="inlineStr">
        <is>
          <t>No</t>
        </is>
      </c>
      <c r="P75" s="2" t="n">
        <v>0</v>
      </c>
      <c r="Q75" s="2" t="n"/>
      <c r="R75" s="2" t="n">
        <v>0</v>
      </c>
      <c r="S75" s="2" t="n">
        <v>0</v>
      </c>
      <c r="T75" s="2" t="n">
        <v>0</v>
      </c>
      <c r="U75" s="2" t="inlineStr">
        <is>
          <t>No</t>
        </is>
      </c>
      <c r="V75" s="2" t="inlineStr">
        <is>
          <t>No</t>
        </is>
      </c>
    </row>
    <row r="76">
      <c r="A76" t="inlineStr">
        <is>
          <t>2025 Annual Security Report</t>
        </is>
      </c>
      <c r="B76" s="1">
        <f>HYPERLINK("https://www.calstatela.edu/sites/default/files/2025%20Annual%20Security%20Report.pdf", "https://www.calstatela.edu/sites/default/files/2025%20Annual%20Security%20Report.pdf")</f>
        <v/>
      </c>
      <c r="C76" s="1">
        <f>HYPERLINK("https://www.calstatela.edu/studenthealthcenter/services", "https://www.calstatela.edu/studenthealthcenter/services")</f>
        <v/>
      </c>
      <c r="D76" t="inlineStr">
        <is>
          <t>2026-02-05 20:38:16</t>
        </is>
      </c>
      <c r="E76" t="inlineStr">
        <is>
          <t>d35aba</t>
        </is>
      </c>
      <c r="F76" t="inlineStr">
        <is>
          <t>calstatela.edu_studenthealthcenter</t>
        </is>
      </c>
      <c r="G76" t="inlineStr">
        <is>
          <t>CSULA-content-manager_eop</t>
        </is>
      </c>
      <c r="H76" t="n">
        <v>1</v>
      </c>
      <c r="I76" t="n">
        <v>4</v>
      </c>
      <c r="J76" t="inlineStr">
        <is>
          <t>No</t>
        </is>
      </c>
      <c r="K76" t="n">
        <v>1</v>
      </c>
      <c r="L76" t="inlineStr">
        <is>
          <t>No</t>
        </is>
      </c>
      <c r="M76" t="inlineStr">
        <is>
          <t>Yes</t>
        </is>
      </c>
      <c r="N76" t="n">
        <v>1</v>
      </c>
      <c r="O76" t="inlineStr">
        <is>
          <t>No</t>
        </is>
      </c>
      <c r="P76" t="n">
        <v>0</v>
      </c>
      <c r="R76" t="n">
        <v>0</v>
      </c>
      <c r="S76" t="n">
        <v>0</v>
      </c>
      <c r="T76" t="n">
        <v>4</v>
      </c>
      <c r="U76" t="inlineStr">
        <is>
          <t>Yes</t>
        </is>
      </c>
      <c r="V76" t="inlineStr">
        <is>
          <t>No</t>
        </is>
      </c>
    </row>
    <row r="77">
      <c r="A77" t="inlineStr">
        <is>
          <t>2026 Campus Safety Plan</t>
        </is>
      </c>
      <c r="B77" s="1">
        <f>HYPERLINK("https://www.calstatela.edu/sites/default/files/2026%20Campus%20Safety%20Plan.pdf", "https://www.calstatela.edu/sites/default/files/2026%20Campus%20Safety%20Plan.pdf")</f>
        <v/>
      </c>
      <c r="C77" s="1">
        <f>HYPERLINK("https://www.calstatela.edu/studenthealthcenter/services", "https://www.calstatela.edu/studenthealthcenter/services")</f>
        <v/>
      </c>
      <c r="D77" t="inlineStr">
        <is>
          <t>2026-02-05 20:38:16</t>
        </is>
      </c>
      <c r="E77" t="inlineStr">
        <is>
          <t>69529a</t>
        </is>
      </c>
      <c r="F77" t="inlineStr">
        <is>
          <t>calstatela.edu_studenthealthcenter</t>
        </is>
      </c>
      <c r="G77" t="inlineStr">
        <is>
          <t>CSULA-content-manager_eop</t>
        </is>
      </c>
      <c r="H77" t="n">
        <v>1</v>
      </c>
      <c r="I77" t="n">
        <v>2</v>
      </c>
      <c r="J77" t="inlineStr">
        <is>
          <t>No</t>
        </is>
      </c>
      <c r="K77" t="n">
        <v>1</v>
      </c>
      <c r="L77" t="inlineStr">
        <is>
          <t>No</t>
        </is>
      </c>
      <c r="M77" t="inlineStr">
        <is>
          <t>Yes</t>
        </is>
      </c>
      <c r="N77" t="n">
        <v>1</v>
      </c>
      <c r="O77" t="inlineStr">
        <is>
          <t>No</t>
        </is>
      </c>
      <c r="P77" t="n">
        <v>0</v>
      </c>
      <c r="R77" t="n">
        <v>0</v>
      </c>
      <c r="S77" t="n">
        <v>0</v>
      </c>
      <c r="T77" t="n">
        <v>2</v>
      </c>
      <c r="U77" t="inlineStr">
        <is>
          <t>Yes</t>
        </is>
      </c>
      <c r="V77" t="inlineStr">
        <is>
          <t>No</t>
        </is>
      </c>
    </row>
    <row r="78">
      <c r="A78" t="inlineStr">
        <is>
          <t>2025 Annual Security Report</t>
        </is>
      </c>
      <c r="B78" s="1">
        <f>HYPERLINK("https://www.calstatela.edu/sites/default/files/2025%20Annual%20Security%20Report.pdf", "https://www.calstatela.edu/sites/default/files/2025%20Annual%20Security%20Report.pdf")</f>
        <v/>
      </c>
      <c r="C78" s="1">
        <f>HYPERLINK("https://www.calstatela.edu/studenthealthcenter/student-health-ambassadors-cal-state-la", "https://www.calstatela.edu/studenthealthcenter/student-health-ambassadors-cal-state-la")</f>
        <v/>
      </c>
      <c r="D78" t="inlineStr">
        <is>
          <t>2026-02-05 20:38:22</t>
        </is>
      </c>
      <c r="E78" t="inlineStr">
        <is>
          <t>d35aba</t>
        </is>
      </c>
      <c r="F78" t="inlineStr">
        <is>
          <t>calstatela.edu_studenthealthcenter</t>
        </is>
      </c>
      <c r="G78" t="inlineStr">
        <is>
          <t>CSULA-content-manager_eop</t>
        </is>
      </c>
      <c r="H78" t="n">
        <v>1</v>
      </c>
      <c r="I78" t="n">
        <v>4</v>
      </c>
      <c r="J78" t="inlineStr">
        <is>
          <t>No</t>
        </is>
      </c>
      <c r="K78" t="n">
        <v>1</v>
      </c>
      <c r="L78" t="inlineStr">
        <is>
          <t>No</t>
        </is>
      </c>
      <c r="M78" t="inlineStr">
        <is>
          <t>Yes</t>
        </is>
      </c>
      <c r="N78" t="n">
        <v>1</v>
      </c>
      <c r="O78" t="inlineStr">
        <is>
          <t>No</t>
        </is>
      </c>
      <c r="P78" t="n">
        <v>0</v>
      </c>
      <c r="R78" t="n">
        <v>0</v>
      </c>
      <c r="S78" t="n">
        <v>0</v>
      </c>
      <c r="T78" t="n">
        <v>4</v>
      </c>
      <c r="U78" t="inlineStr">
        <is>
          <t>Yes</t>
        </is>
      </c>
      <c r="V78" t="inlineStr">
        <is>
          <t>No</t>
        </is>
      </c>
    </row>
    <row r="79">
      <c r="A79" t="inlineStr">
        <is>
          <t>2026 Campus Safety Plan</t>
        </is>
      </c>
      <c r="B79" s="1">
        <f>HYPERLINK("https://www.calstatela.edu/sites/default/files/2026%20Campus%20Safety%20Plan.pdf", "https://www.calstatela.edu/sites/default/files/2026%20Campus%20Safety%20Plan.pdf")</f>
        <v/>
      </c>
      <c r="C79" s="1">
        <f>HYPERLINK("https://www.calstatela.edu/studenthealthcenter/student-health-ambassadors-cal-state-la", "https://www.calstatela.edu/studenthealthcenter/student-health-ambassadors-cal-state-la")</f>
        <v/>
      </c>
      <c r="D79" t="inlineStr">
        <is>
          <t>2026-02-05 20:38:22</t>
        </is>
      </c>
      <c r="E79" t="inlineStr">
        <is>
          <t>69529a</t>
        </is>
      </c>
      <c r="F79" t="inlineStr">
        <is>
          <t>calstatela.edu_studenthealthcenter</t>
        </is>
      </c>
      <c r="G79" t="inlineStr">
        <is>
          <t>CSULA-content-manager_eop</t>
        </is>
      </c>
      <c r="H79" t="n">
        <v>1</v>
      </c>
      <c r="I79" t="n">
        <v>2</v>
      </c>
      <c r="J79" t="inlineStr">
        <is>
          <t>No</t>
        </is>
      </c>
      <c r="K79" t="n">
        <v>1</v>
      </c>
      <c r="L79" t="inlineStr">
        <is>
          <t>No</t>
        </is>
      </c>
      <c r="M79" t="inlineStr">
        <is>
          <t>Yes</t>
        </is>
      </c>
      <c r="N79" t="n">
        <v>1</v>
      </c>
      <c r="O79" t="inlineStr">
        <is>
          <t>No</t>
        </is>
      </c>
      <c r="P79" t="n">
        <v>0</v>
      </c>
      <c r="R79" t="n">
        <v>0</v>
      </c>
      <c r="S79" t="n">
        <v>0</v>
      </c>
      <c r="T79" t="n">
        <v>2</v>
      </c>
      <c r="U79" t="inlineStr">
        <is>
          <t>Yes</t>
        </is>
      </c>
      <c r="V79" t="inlineStr">
        <is>
          <t>No</t>
        </is>
      </c>
    </row>
  </sheetData>
  <dataValidations count="2">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showDropDown="0" showInputMessage="0" showErrorMessage="0" allowBlank="0" type="list">
      <formula1>"Yes,No"</formula1>
    </dataValidation>
    <dataValidation sqref="V2 V3 V4 V5 V6 V7 V8 V9 V10 V11 V12 V13 V14 V15 V16 V17 V18 V19 V20 V21 V22 V23 V24 V25 V26 V27 V28 V29 V30 V31 V32 V33 V34 V35 V36 V37 V38 V39 V40 V41 V42 V43 V44 V45 V46 V47 V48 V49 V50 V51 V52 V53 V54 V55 V56 V57 V58 V59 V60 V61 V62 V63 V64 V65 V66 V67 V68 V69 V70 V71 V72 V73 V74 V75 V76 V77 V78 V79" showDropDown="0" showInputMessage="0" showErrorMessage="0" allowBlank="0" type="list">
      <formula1>"Yes,No"</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t="inlineStr">
        <is>
          <t>site_id</t>
        </is>
      </c>
      <c r="B1" t="inlineStr">
        <is>
          <t>error_date</t>
        </is>
      </c>
      <c r="C1" t="inlineStr">
        <is>
          <t>error_message</t>
        </is>
      </c>
      <c r="D1" t="inlineStr">
        <is>
          <t>pdf_uri</t>
        </is>
      </c>
      <c r="E1" t="inlineStr">
        <is>
          <t>parent_uri</t>
        </is>
      </c>
    </row>
    <row r="2">
      <c r="A2" t="n">
        <v>1</v>
      </c>
      <c r="B2" t="inlineStr">
        <is>
          <t>2026-02-05 20:38:36</t>
        </is>
      </c>
      <c r="C2" t="inlineStr">
        <is>
          <t>Couldn't download 404</t>
        </is>
      </c>
      <c r="D2" t="inlineStr">
        <is>
          <t>https://www.drugabuse.gov/sites/default/files/nida_shatterthemyths_508_final.pdf</t>
        </is>
      </c>
    </row>
    <row r="3">
      <c r="A3" t="n">
        <v>1</v>
      </c>
      <c r="B3" t="inlineStr">
        <is>
          <t>2026-02-05 20:39:02</t>
        </is>
      </c>
      <c r="C3" t="inlineStr">
        <is>
          <t>Couldn't download 404</t>
        </is>
      </c>
      <c r="D3" t="inlineStr">
        <is>
          <t>http://www.calstatela.edu/sites/default/files/OEDI</t>
        </is>
      </c>
    </row>
    <row r="4">
      <c r="A4" t="n">
        <v>1</v>
      </c>
      <c r="B4" t="inlineStr">
        <is>
          <t>2026-02-05 20:39:09</t>
        </is>
      </c>
      <c r="C4" t="inlineStr">
        <is>
          <t>Couldn't download 404</t>
        </is>
      </c>
      <c r="D4" t="inlineStr">
        <is>
          <t>http://www.calstatela.edu/sites/default/files/OEDI</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20" customWidth="1" min="1" max="1"/>
  </cols>
  <sheetData>
    <row r="1" ht="300" customHeight="1">
      <c r="A1" s="4" t="inlineStr">
        <is>
          <t xml:space="preserve">Important Instructions:
1) Please review PDF accessibility requirements at: https://www.calstatela.edu/accessibility
2) Cal State LA will provide access to PDF remediation tools for all employees.
3) Please update the Priority column if a PDF meets the requirements for low priority. Only focus on RED highlights.
4) Pay Attention to the 'fingerprint' column. This is the unique identifier for each PDF. There may be duplicates on your domain.
   Tip: If the same PDF appears on many pages (header/footer navigation), use the 'Unique PDFs' sheet to view it once.
   To view occurrences grouped together, use 'Grouped by PDF URL' (by file) or 'Grouped by Parent URL' (by page/section).
5) If you need assistance with PDF remediation, please contact:
   Email: accessibility@calstatela.edu | Phone: 323-343-6170 (ITS Help Desk)
6) These scans only look at files hosted on drupal or box, if you feel files are missing please let us know and we can run a new scan.
7) For questions, training, or feedback, contact: accessibility@calstatela.edu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2026-02-05T21:43:40Z</dcterms:created>
  <dcterms:modified xmlns:dcterms="http://purl.org/dc/terms/" xmlns:xsi="http://www.w3.org/2001/XMLSchema-instance" xsi:type="dcterms:W3CDTF">2026-02-05T21:43:40Z</dcterms:modified>
</cp:coreProperties>
</file>