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anned PDFs" sheetId="1" state="visible" r:id="rId1"/>
    <sheet xmlns:r="http://schemas.openxmlformats.org/officeDocument/2006/relationships" name="Unique PDFs" sheetId="2" state="visible" r:id="rId2"/>
    <sheet xmlns:r="http://schemas.openxmlformats.org/officeDocument/2006/relationships" name="Grouped by PDF URL" sheetId="3" state="visible" r:id="rId3"/>
    <sheet xmlns:r="http://schemas.openxmlformats.org/officeDocument/2006/relationships" name="Grouped by Parent URL" sheetId="4" state="visible" r:id="rId4"/>
    <sheet xmlns:r="http://schemas.openxmlformats.org/officeDocument/2006/relationships" name="Failure" sheetId="5" state="visible" r:id="rId5"/>
    <sheet xmlns:r="http://schemas.openxmlformats.org/officeDocument/2006/relationships" name="Instructions" sheetId="6" state="visible" r:id="rId6"/>
    <sheet xmlns:r="http://schemas.openxmlformats.org/officeDocument/2006/relationships" name="Sheet" sheetId="7" state="visible" r:id="rId7"/>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color rgb="000563C1"/>
      <u val="single"/>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ables/table1.xml><?xml version="1.0" encoding="utf-8"?>
<table xmlns="http://schemas.openxmlformats.org/spreadsheetml/2006/main" id="1" name="DataTable" displayName="DataTable" ref="A1:V49" headerRowCount="1">
  <autoFilter ref="A1:V49"/>
  <tableColumns count="22">
    <tableColumn id="1" name="pdf_title"/>
    <tableColumn id="2" name="pdf_uri"/>
    <tableColumn id="3" name="parent_uri"/>
    <tableColumn id="4" name="scanned_date"/>
    <tableColumn id="5" name="fingerprint"/>
    <tableColumn id="6" name="domain_name"/>
    <tableColumn id="7" name="security_group_name"/>
    <tableColumn id="8" name="drupal_site_id"/>
    <tableColumn id="9" name="violations"/>
    <tableColumn id="10" name="failed_checks"/>
    <tableColumn id="11" name="tagged"/>
    <tableColumn id="12" name="pdf_text_type"/>
    <tableColumn id="13" name="title_set"/>
    <tableColumn id="14" name="language_set"/>
    <tableColumn id="15" name="page_count"/>
    <tableColumn id="16" name="has_form"/>
    <tableColumn id="17" name="approved_pdf_exporter"/>
    <tableColumn id="18" name="parent_returns_404"/>
    <tableColumn id="19" name="pdf_returns_404"/>
    <tableColumn id="20" name="Errors/Page"/>
    <tableColumn id="21" name="Low Priority"/>
    <tableColumn id="22" name="DPRC Will Remediate"/>
  </tableColumns>
  <tableStyleInfo name="TableStyleMedium9" showFirstColumn="0" showLastColumn="0" showRowStripes="1" showColumnStripes="1"/>
</table>
</file>

<file path=xl/tables/table2.xml><?xml version="1.0" encoding="utf-8"?>
<table xmlns="http://schemas.openxmlformats.org/spreadsheetml/2006/main" id="2" name="UniquePdfTable" displayName="UniquePdfTable" ref="A1:O3" headerRowCount="1">
  <autoFilter ref="A1:O3"/>
  <tableColumns count="15">
    <tableColumn id="1" name="pdf_title"/>
    <tableColumn id="2" name="pdf_uri"/>
    <tableColumn id="3" name="fingerprint"/>
    <tableColumn id="4" name="domain_name"/>
    <tableColumn id="5" name="violations"/>
    <tableColumn id="6" name="failed_checks"/>
    <tableColumn id="7" name="tagged"/>
    <tableColumn id="8" name="pdf_text_type"/>
    <tableColumn id="9" name="title_set"/>
    <tableColumn id="10" name="language_set"/>
    <tableColumn id="11" name="page_count"/>
    <tableColumn id="12" name="has_form"/>
    <tableColumn id="13" name="approved_pdf_exporter"/>
    <tableColumn id="14" name="link_count"/>
    <tableColumn id="15" name="sample_parent_uri"/>
  </tableColumns>
  <tableStyleInfo name="TableStyleMedium9" showFirstColumn="0" showLastColumn="0" showRowStripes="1" showColumnStripes="1"/>
</table>
</file>

<file path=xl/tables/table3.xml><?xml version="1.0" encoding="utf-8"?>
<table xmlns="http://schemas.openxmlformats.org/spreadsheetml/2006/main" id="3" name="GroupedByPdfTable" displayName="GroupedByPdfTable" ref="A1:Q3" headerRowCount="1">
  <autoFilter ref="A1:Q3"/>
  <tableColumns count="17">
    <tableColumn id="1" name="pdf_title"/>
    <tableColumn id="2" name="pdf_uri"/>
    <tableColumn id="3" name="fingerprint"/>
    <tableColumn id="4" name="domain_name"/>
    <tableColumn id="5" name="violations"/>
    <tableColumn id="6" name="failed_checks"/>
    <tableColumn id="7" name="tagged"/>
    <tableColumn id="8" name="pdf_text_type"/>
    <tableColumn id="9" name="title_set"/>
    <tableColumn id="10" name="language_set"/>
    <tableColumn id="11" name="page_count"/>
    <tableColumn id="12" name="has_form"/>
    <tableColumn id="13" name="approved_pdf_exporter"/>
    <tableColumn id="14" name="total_occurrences"/>
    <tableColumn id="15" name="unique_parent_count"/>
    <tableColumn id="16" name="sample_parent_uri"/>
    <tableColumn id="17" name="sample_parent_uris"/>
  </tableColumns>
  <tableStyleInfo name="TableStyleMedium9" showFirstColumn="0" showLastColumn="0" showRowStripes="1" showColumnStripes="1"/>
</table>
</file>

<file path=xl/tables/table4.xml><?xml version="1.0" encoding="utf-8"?>
<table xmlns="http://schemas.openxmlformats.org/spreadsheetml/2006/main" id="4" name="GroupedByParentTable" displayName="GroupedByParentTable" ref="A1:G25" headerRowCount="1">
  <autoFilter ref="A1:G25"/>
  <tableColumns count="7">
    <tableColumn id="1" name="parent_uri"/>
    <tableColumn id="2" name="domain_name"/>
    <tableColumn id="3" name="total_pdf_occurrences"/>
    <tableColumn id="4" name="unique_pdf_count"/>
    <tableColumn id="5" name="high_priority_unique_count"/>
    <tableColumn id="6" name="sample_pdf_uri"/>
    <tableColumn id="7" name="sample_pdf_uris"/>
  </tableColumns>
  <tableStyleInfo name="TableStyleMedium9" showFirstColumn="0" showLastColumn="0" showRowStripes="1" showColumn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sheet1.xml><?xml version="1.0" encoding="utf-8"?>
<worksheet xmlns="http://schemas.openxmlformats.org/spreadsheetml/2006/main">
  <sheetPr>
    <outlinePr summaryBelow="1" summaryRight="1"/>
    <pageSetUpPr/>
  </sheetPr>
  <dimension ref="A1:V49"/>
  <sheetViews>
    <sheetView workbookViewId="0">
      <selection activeCell="A1" sqref="A1"/>
    </sheetView>
  </sheetViews>
  <sheetFormatPr baseColWidth="8" defaultRowHeight="15"/>
  <sheetData>
    <row r="1">
      <c r="A1" t="inlineStr">
        <is>
          <t>pdf_title</t>
        </is>
      </c>
      <c r="B1" t="inlineStr">
        <is>
          <t>pdf_uri</t>
        </is>
      </c>
      <c r="C1" t="inlineStr">
        <is>
          <t>parent_uri</t>
        </is>
      </c>
      <c r="D1" t="inlineStr">
        <is>
          <t>scanned_date</t>
        </is>
      </c>
      <c r="E1" t="inlineStr">
        <is>
          <t>fingerprint</t>
        </is>
      </c>
      <c r="F1" t="inlineStr">
        <is>
          <t>domain_name</t>
        </is>
      </c>
      <c r="G1" t="inlineStr">
        <is>
          <t>security_group_name</t>
        </is>
      </c>
      <c r="H1" t="inlineStr">
        <is>
          <t>drupal_site_id</t>
        </is>
      </c>
      <c r="I1" t="inlineStr">
        <is>
          <t>violations</t>
        </is>
      </c>
      <c r="J1" t="inlineStr">
        <is>
          <t>failed_checks</t>
        </is>
      </c>
      <c r="K1" t="inlineStr">
        <is>
          <t>tagged</t>
        </is>
      </c>
      <c r="L1" t="inlineStr">
        <is>
          <t>pdf_text_type</t>
        </is>
      </c>
      <c r="M1" t="inlineStr">
        <is>
          <t>title_set</t>
        </is>
      </c>
      <c r="N1" t="inlineStr">
        <is>
          <t>language_set</t>
        </is>
      </c>
      <c r="O1" t="inlineStr">
        <is>
          <t>page_count</t>
        </is>
      </c>
      <c r="P1" t="inlineStr">
        <is>
          <t>has_form</t>
        </is>
      </c>
      <c r="Q1" t="inlineStr">
        <is>
          <t>approved_pdf_exporter</t>
        </is>
      </c>
      <c r="R1" t="inlineStr">
        <is>
          <t>parent_returns_404</t>
        </is>
      </c>
      <c r="S1" t="inlineStr">
        <is>
          <t>pdf_returns_404</t>
        </is>
      </c>
      <c r="T1" t="inlineStr">
        <is>
          <t>Errors/Page</t>
        </is>
      </c>
      <c r="U1" t="inlineStr">
        <is>
          <t>Low Priority</t>
        </is>
      </c>
      <c r="V1" t="inlineStr">
        <is>
          <t>DPRC Will Remediate</t>
        </is>
      </c>
    </row>
    <row r="2">
      <c r="A2" t="inlineStr">
        <is>
          <t>2025 Annual Security Report</t>
        </is>
      </c>
      <c r="B2" s="1">
        <f>HYPERLINK("https://www.calstatela.edu/sites/default/files/2025%20Annual%20Security%20Report.pdf", "https://www.calstatela.edu/sites/default/files/2025%20Annual%20Security%20Report.pdf")</f>
        <v/>
      </c>
      <c r="C2" s="1">
        <f>HYPERLINK("https://www.calstatela.edu/eop", "https://www.calstatela.edu/eop")</f>
        <v/>
      </c>
      <c r="D2" t="inlineStr">
        <is>
          <t>2026-02-03 19:42:22</t>
        </is>
      </c>
      <c r="E2" t="inlineStr">
        <is>
          <t>d35aba</t>
        </is>
      </c>
      <c r="F2" t="inlineStr">
        <is>
          <t>calstatela.edu_eop</t>
        </is>
      </c>
      <c r="G2" t="inlineStr">
        <is>
          <t>CSULA-content-manager_eop</t>
        </is>
      </c>
      <c r="H2" t="n">
        <v>1</v>
      </c>
      <c r="I2" t="n">
        <v>4</v>
      </c>
      <c r="J2" t="inlineStr">
        <is>
          <t>No</t>
        </is>
      </c>
      <c r="K2" t="n">
        <v>1</v>
      </c>
      <c r="L2" t="inlineStr">
        <is>
          <t>No</t>
        </is>
      </c>
      <c r="M2" t="inlineStr">
        <is>
          <t>Yes</t>
        </is>
      </c>
      <c r="N2" t="n">
        <v>1</v>
      </c>
      <c r="O2" t="inlineStr">
        <is>
          <t>No</t>
        </is>
      </c>
      <c r="P2" t="n">
        <v>0</v>
      </c>
      <c r="R2" t="n">
        <v>0</v>
      </c>
      <c r="S2" t="n">
        <v>0</v>
      </c>
      <c r="T2" t="n">
        <v>4</v>
      </c>
      <c r="U2" t="inlineStr">
        <is>
          <t>Yes</t>
        </is>
      </c>
      <c r="V2" t="inlineStr">
        <is>
          <t>No</t>
        </is>
      </c>
    </row>
    <row r="3">
      <c r="A3" t="inlineStr">
        <is>
          <t>2026 Campus Safety Plan</t>
        </is>
      </c>
      <c r="B3" s="1">
        <f>HYPERLINK("https://www.calstatela.edu/sites/default/files/2026%20Campus%20Safety%20Plan.pdf", "https://www.calstatela.edu/sites/default/files/2026%20Campus%20Safety%20Plan.pdf")</f>
        <v/>
      </c>
      <c r="C3" s="1">
        <f>HYPERLINK("https://www.calstatela.edu/eop", "https://www.calstatela.edu/eop")</f>
        <v/>
      </c>
      <c r="D3" t="inlineStr">
        <is>
          <t>2026-02-03 19:42:26</t>
        </is>
      </c>
      <c r="E3" t="inlineStr">
        <is>
          <t>69529a</t>
        </is>
      </c>
      <c r="F3" t="inlineStr">
        <is>
          <t>calstatela.edu_eop</t>
        </is>
      </c>
      <c r="G3" t="inlineStr">
        <is>
          <t>CSULA-content-manager_eop</t>
        </is>
      </c>
      <c r="H3" t="n">
        <v>1</v>
      </c>
      <c r="I3" t="n">
        <v>2</v>
      </c>
      <c r="J3" t="inlineStr">
        <is>
          <t>No</t>
        </is>
      </c>
      <c r="K3" t="n">
        <v>1</v>
      </c>
      <c r="L3" t="inlineStr">
        <is>
          <t>No</t>
        </is>
      </c>
      <c r="M3" t="inlineStr">
        <is>
          <t>Yes</t>
        </is>
      </c>
      <c r="N3" t="n">
        <v>1</v>
      </c>
      <c r="O3" t="inlineStr">
        <is>
          <t>No</t>
        </is>
      </c>
      <c r="P3" t="n">
        <v>0</v>
      </c>
      <c r="R3" t="n">
        <v>0</v>
      </c>
      <c r="S3" t="n">
        <v>0</v>
      </c>
      <c r="T3" t="n">
        <v>2</v>
      </c>
      <c r="U3" t="inlineStr">
        <is>
          <t>Yes</t>
        </is>
      </c>
      <c r="V3" t="inlineStr">
        <is>
          <t>No</t>
        </is>
      </c>
    </row>
    <row r="4">
      <c r="A4" t="inlineStr">
        <is>
          <t>2025 Annual Security Report</t>
        </is>
      </c>
      <c r="B4" s="1">
        <f>HYPERLINK("https://www.calstatela.edu/sites/default/files/2025%20Annual%20Security%20Report.pdf", "https://www.calstatela.edu/sites/default/files/2025%20Annual%20Security%20Report.pdf")</f>
        <v/>
      </c>
      <c r="C4" s="1">
        <f>HYPERLINK("https://www.calstatela.edu/eop/send-documents-eop", "https://www.calstatela.edu/eop/send-documents-eop")</f>
        <v/>
      </c>
      <c r="D4" t="inlineStr">
        <is>
          <t>2026-02-03 19:42:26</t>
        </is>
      </c>
      <c r="E4" t="inlineStr">
        <is>
          <t>d35aba</t>
        </is>
      </c>
      <c r="F4" t="inlineStr">
        <is>
          <t>calstatela.edu_eop</t>
        </is>
      </c>
      <c r="G4" t="inlineStr">
        <is>
          <t>CSULA-content-manager_eop</t>
        </is>
      </c>
      <c r="H4" t="n">
        <v>1</v>
      </c>
      <c r="I4" t="n">
        <v>4</v>
      </c>
      <c r="J4" t="inlineStr">
        <is>
          <t>No</t>
        </is>
      </c>
      <c r="K4" t="n">
        <v>1</v>
      </c>
      <c r="L4" t="inlineStr">
        <is>
          <t>No</t>
        </is>
      </c>
      <c r="M4" t="inlineStr">
        <is>
          <t>Yes</t>
        </is>
      </c>
      <c r="N4" t="n">
        <v>1</v>
      </c>
      <c r="O4" t="inlineStr">
        <is>
          <t>No</t>
        </is>
      </c>
      <c r="P4" t="n">
        <v>0</v>
      </c>
      <c r="R4" t="n">
        <v>0</v>
      </c>
      <c r="S4" t="n">
        <v>0</v>
      </c>
      <c r="T4" t="n">
        <v>4</v>
      </c>
      <c r="U4" t="inlineStr">
        <is>
          <t>Yes</t>
        </is>
      </c>
      <c r="V4" t="inlineStr">
        <is>
          <t>No</t>
        </is>
      </c>
    </row>
    <row r="5">
      <c r="A5" t="inlineStr">
        <is>
          <t>2026 Campus Safety Plan</t>
        </is>
      </c>
      <c r="B5" s="1">
        <f>HYPERLINK("https://www.calstatela.edu/sites/default/files/2026%20Campus%20Safety%20Plan.pdf", "https://www.calstatela.edu/sites/default/files/2026%20Campus%20Safety%20Plan.pdf")</f>
        <v/>
      </c>
      <c r="C5" s="1">
        <f>HYPERLINK("https://www.calstatela.edu/eop/send-documents-eop", "https://www.calstatela.edu/eop/send-documents-eop")</f>
        <v/>
      </c>
      <c r="D5" t="inlineStr">
        <is>
          <t>2026-02-03 19:42:26</t>
        </is>
      </c>
      <c r="E5" t="inlineStr">
        <is>
          <t>69529a</t>
        </is>
      </c>
      <c r="F5" t="inlineStr">
        <is>
          <t>calstatela.edu_eop</t>
        </is>
      </c>
      <c r="G5" t="inlineStr">
        <is>
          <t>CSULA-content-manager_eop</t>
        </is>
      </c>
      <c r="H5" t="n">
        <v>1</v>
      </c>
      <c r="I5" t="n">
        <v>2</v>
      </c>
      <c r="J5" t="inlineStr">
        <is>
          <t>No</t>
        </is>
      </c>
      <c r="K5" t="n">
        <v>1</v>
      </c>
      <c r="L5" t="inlineStr">
        <is>
          <t>No</t>
        </is>
      </c>
      <c r="M5" t="inlineStr">
        <is>
          <t>Yes</t>
        </is>
      </c>
      <c r="N5" t="n">
        <v>1</v>
      </c>
      <c r="O5" t="inlineStr">
        <is>
          <t>No</t>
        </is>
      </c>
      <c r="P5" t="n">
        <v>0</v>
      </c>
      <c r="R5" t="n">
        <v>0</v>
      </c>
      <c r="S5" t="n">
        <v>0</v>
      </c>
      <c r="T5" t="n">
        <v>2</v>
      </c>
      <c r="U5" t="inlineStr">
        <is>
          <t>Yes</t>
        </is>
      </c>
      <c r="V5" t="inlineStr">
        <is>
          <t>No</t>
        </is>
      </c>
    </row>
    <row r="6">
      <c r="A6" t="inlineStr">
        <is>
          <t>2025 Annual Security Report</t>
        </is>
      </c>
      <c r="B6" s="1">
        <f>HYPERLINK("https://www.calstatela.edu/sites/default/files/2025%20Annual%20Security%20Report.pdf", "https://www.calstatela.edu/sites/default/files/2025%20Annual%20Security%20Report.pdf")</f>
        <v/>
      </c>
      <c r="C6" s="1">
        <f>HYPERLINK("https://www.calstatela.edu/eop/connect-us", "https://www.calstatela.edu/eop/connect-us")</f>
        <v/>
      </c>
      <c r="D6" t="inlineStr">
        <is>
          <t>2026-02-03 19:42:26</t>
        </is>
      </c>
      <c r="E6" t="inlineStr">
        <is>
          <t>d35aba</t>
        </is>
      </c>
      <c r="F6" t="inlineStr">
        <is>
          <t>calstatela.edu_eop</t>
        </is>
      </c>
      <c r="G6" t="inlineStr">
        <is>
          <t>CSULA-content-manager_eop</t>
        </is>
      </c>
      <c r="H6" t="n">
        <v>1</v>
      </c>
      <c r="I6" t="n">
        <v>4</v>
      </c>
      <c r="J6" t="inlineStr">
        <is>
          <t>No</t>
        </is>
      </c>
      <c r="K6" t="n">
        <v>1</v>
      </c>
      <c r="L6" t="inlineStr">
        <is>
          <t>No</t>
        </is>
      </c>
      <c r="M6" t="inlineStr">
        <is>
          <t>Yes</t>
        </is>
      </c>
      <c r="N6" t="n">
        <v>1</v>
      </c>
      <c r="O6" t="inlineStr">
        <is>
          <t>No</t>
        </is>
      </c>
      <c r="P6" t="n">
        <v>0</v>
      </c>
      <c r="R6" t="n">
        <v>0</v>
      </c>
      <c r="S6" t="n">
        <v>0</v>
      </c>
      <c r="T6" t="n">
        <v>4</v>
      </c>
      <c r="U6" t="inlineStr">
        <is>
          <t>Yes</t>
        </is>
      </c>
      <c r="V6" t="inlineStr">
        <is>
          <t>No</t>
        </is>
      </c>
    </row>
    <row r="7">
      <c r="A7" t="inlineStr">
        <is>
          <t>2026 Campus Safety Plan</t>
        </is>
      </c>
      <c r="B7" s="1">
        <f>HYPERLINK("https://www.calstatela.edu/sites/default/files/2026%20Campus%20Safety%20Plan.pdf", "https://www.calstatela.edu/sites/default/files/2026%20Campus%20Safety%20Plan.pdf")</f>
        <v/>
      </c>
      <c r="C7" s="1">
        <f>HYPERLINK("https://www.calstatela.edu/eop/connect-us", "https://www.calstatela.edu/eop/connect-us")</f>
        <v/>
      </c>
      <c r="D7" t="inlineStr">
        <is>
          <t>2026-02-03 19:42:26</t>
        </is>
      </c>
      <c r="E7" t="inlineStr">
        <is>
          <t>69529a</t>
        </is>
      </c>
      <c r="F7" t="inlineStr">
        <is>
          <t>calstatela.edu_eop</t>
        </is>
      </c>
      <c r="G7" t="inlineStr">
        <is>
          <t>CSULA-content-manager_eop</t>
        </is>
      </c>
      <c r="H7" t="n">
        <v>1</v>
      </c>
      <c r="I7" t="n">
        <v>2</v>
      </c>
      <c r="J7" t="inlineStr">
        <is>
          <t>No</t>
        </is>
      </c>
      <c r="K7" t="n">
        <v>1</v>
      </c>
      <c r="L7" t="inlineStr">
        <is>
          <t>No</t>
        </is>
      </c>
      <c r="M7" t="inlineStr">
        <is>
          <t>Yes</t>
        </is>
      </c>
      <c r="N7" t="n">
        <v>1</v>
      </c>
      <c r="O7" t="inlineStr">
        <is>
          <t>No</t>
        </is>
      </c>
      <c r="P7" t="n">
        <v>0</v>
      </c>
      <c r="R7" t="n">
        <v>0</v>
      </c>
      <c r="S7" t="n">
        <v>0</v>
      </c>
      <c r="T7" t="n">
        <v>2</v>
      </c>
      <c r="U7" t="inlineStr">
        <is>
          <t>Yes</t>
        </is>
      </c>
      <c r="V7" t="inlineStr">
        <is>
          <t>No</t>
        </is>
      </c>
    </row>
    <row r="8">
      <c r="A8" t="inlineStr">
        <is>
          <t>2025 Annual Security Report</t>
        </is>
      </c>
      <c r="B8" s="1">
        <f>HYPERLINK("https://www.calstatela.edu/sites/default/files/2025%20Annual%20Security%20Report.pdf", "https://www.calstatela.edu/sites/default/files/2025%20Annual%20Security%20Report.pdf")</f>
        <v/>
      </c>
      <c r="C8" s="1">
        <f>HYPERLINK("https://www.calstatela.edu/eop/virtual-or-person-eop-presentation-request-form", "https://www.calstatela.edu/eop/virtual-or-person-eop-presentation-request-form")</f>
        <v/>
      </c>
      <c r="D8" t="inlineStr">
        <is>
          <t>2026-02-03 19:42:26</t>
        </is>
      </c>
      <c r="E8" t="inlineStr">
        <is>
          <t>d35aba</t>
        </is>
      </c>
      <c r="F8" t="inlineStr">
        <is>
          <t>calstatela.edu_eop</t>
        </is>
      </c>
      <c r="G8" t="inlineStr">
        <is>
          <t>CSULA-content-manager_eop</t>
        </is>
      </c>
      <c r="H8" t="n">
        <v>1</v>
      </c>
      <c r="I8" t="n">
        <v>4</v>
      </c>
      <c r="J8" t="inlineStr">
        <is>
          <t>No</t>
        </is>
      </c>
      <c r="K8" t="n">
        <v>1</v>
      </c>
      <c r="L8" t="inlineStr">
        <is>
          <t>No</t>
        </is>
      </c>
      <c r="M8" t="inlineStr">
        <is>
          <t>Yes</t>
        </is>
      </c>
      <c r="N8" t="n">
        <v>1</v>
      </c>
      <c r="O8" t="inlineStr">
        <is>
          <t>No</t>
        </is>
      </c>
      <c r="P8" t="n">
        <v>0</v>
      </c>
      <c r="R8" t="n">
        <v>0</v>
      </c>
      <c r="S8" t="n">
        <v>0</v>
      </c>
      <c r="T8" t="n">
        <v>4</v>
      </c>
      <c r="U8" t="inlineStr">
        <is>
          <t>Yes</t>
        </is>
      </c>
      <c r="V8" t="inlineStr">
        <is>
          <t>No</t>
        </is>
      </c>
    </row>
    <row r="9">
      <c r="A9" t="inlineStr">
        <is>
          <t>2026 Campus Safety Plan</t>
        </is>
      </c>
      <c r="B9" s="1">
        <f>HYPERLINK("https://www.calstatela.edu/sites/default/files/2026%20Campus%20Safety%20Plan.pdf", "https://www.calstatela.edu/sites/default/files/2026%20Campus%20Safety%20Plan.pdf")</f>
        <v/>
      </c>
      <c r="C9" s="1">
        <f>HYPERLINK("https://www.calstatela.edu/eop/virtual-or-person-eop-presentation-request-form", "https://www.calstatela.edu/eop/virtual-or-person-eop-presentation-request-form")</f>
        <v/>
      </c>
      <c r="D9" t="inlineStr">
        <is>
          <t>2026-02-03 19:42:26</t>
        </is>
      </c>
      <c r="E9" t="inlineStr">
        <is>
          <t>69529a</t>
        </is>
      </c>
      <c r="F9" t="inlineStr">
        <is>
          <t>calstatela.edu_eop</t>
        </is>
      </c>
      <c r="G9" t="inlineStr">
        <is>
          <t>CSULA-content-manager_eop</t>
        </is>
      </c>
      <c r="H9" t="n">
        <v>1</v>
      </c>
      <c r="I9" t="n">
        <v>2</v>
      </c>
      <c r="J9" t="inlineStr">
        <is>
          <t>No</t>
        </is>
      </c>
      <c r="K9" t="n">
        <v>1</v>
      </c>
      <c r="L9" t="inlineStr">
        <is>
          <t>No</t>
        </is>
      </c>
      <c r="M9" t="inlineStr">
        <is>
          <t>Yes</t>
        </is>
      </c>
      <c r="N9" t="n">
        <v>1</v>
      </c>
      <c r="O9" t="inlineStr">
        <is>
          <t>No</t>
        </is>
      </c>
      <c r="P9" t="n">
        <v>0</v>
      </c>
      <c r="R9" t="n">
        <v>0</v>
      </c>
      <c r="S9" t="n">
        <v>0</v>
      </c>
      <c r="T9" t="n">
        <v>2</v>
      </c>
      <c r="U9" t="inlineStr">
        <is>
          <t>Yes</t>
        </is>
      </c>
      <c r="V9" t="inlineStr">
        <is>
          <t>No</t>
        </is>
      </c>
    </row>
    <row r="10">
      <c r="A10" t="inlineStr">
        <is>
          <t>2025 Annual Security Report</t>
        </is>
      </c>
      <c r="B10" s="1">
        <f>HYPERLINK("https://www.calstatela.edu/sites/default/files/2025%20Annual%20Security%20Report.pdf", "https://www.calstatela.edu/sites/default/files/2025%20Annual%20Security%20Report.pdf")</f>
        <v/>
      </c>
      <c r="C10" s="1">
        <f>HYPERLINK("https://www.calstatela.edu/eop/meet-team", "https://www.calstatela.edu/eop/meet-team")</f>
        <v/>
      </c>
      <c r="D10" t="inlineStr">
        <is>
          <t>2026-02-03 19:42:26</t>
        </is>
      </c>
      <c r="E10" t="inlineStr">
        <is>
          <t>d35aba</t>
        </is>
      </c>
      <c r="F10" t="inlineStr">
        <is>
          <t>calstatela.edu_eop</t>
        </is>
      </c>
      <c r="G10" t="inlineStr">
        <is>
          <t>CSULA-content-manager_eop</t>
        </is>
      </c>
      <c r="H10" t="n">
        <v>1</v>
      </c>
      <c r="I10" t="n">
        <v>4</v>
      </c>
      <c r="J10" t="inlineStr">
        <is>
          <t>No</t>
        </is>
      </c>
      <c r="K10" t="n">
        <v>1</v>
      </c>
      <c r="L10" t="inlineStr">
        <is>
          <t>No</t>
        </is>
      </c>
      <c r="M10" t="inlineStr">
        <is>
          <t>Yes</t>
        </is>
      </c>
      <c r="N10" t="n">
        <v>1</v>
      </c>
      <c r="O10" t="inlineStr">
        <is>
          <t>No</t>
        </is>
      </c>
      <c r="P10" t="n">
        <v>0</v>
      </c>
      <c r="R10" t="n">
        <v>0</v>
      </c>
      <c r="S10" t="n">
        <v>0</v>
      </c>
      <c r="T10" t="n">
        <v>4</v>
      </c>
      <c r="U10" t="inlineStr">
        <is>
          <t>Yes</t>
        </is>
      </c>
      <c r="V10" t="inlineStr">
        <is>
          <t>No</t>
        </is>
      </c>
    </row>
    <row r="11">
      <c r="A11" t="inlineStr">
        <is>
          <t>2026 Campus Safety Plan</t>
        </is>
      </c>
      <c r="B11" s="1">
        <f>HYPERLINK("https://www.calstatela.edu/sites/default/files/2026%20Campus%20Safety%20Plan.pdf", "https://www.calstatela.edu/sites/default/files/2026%20Campus%20Safety%20Plan.pdf")</f>
        <v/>
      </c>
      <c r="C11" s="1">
        <f>HYPERLINK("https://www.calstatela.edu/eop/meet-team", "https://www.calstatela.edu/eop/meet-team")</f>
        <v/>
      </c>
      <c r="D11" t="inlineStr">
        <is>
          <t>2026-02-03 19:42:26</t>
        </is>
      </c>
      <c r="E11" t="inlineStr">
        <is>
          <t>69529a</t>
        </is>
      </c>
      <c r="F11" t="inlineStr">
        <is>
          <t>calstatela.edu_eop</t>
        </is>
      </c>
      <c r="G11" t="inlineStr">
        <is>
          <t>CSULA-content-manager_eop</t>
        </is>
      </c>
      <c r="H11" t="n">
        <v>1</v>
      </c>
      <c r="I11" t="n">
        <v>2</v>
      </c>
      <c r="J11" t="inlineStr">
        <is>
          <t>No</t>
        </is>
      </c>
      <c r="K11" t="n">
        <v>1</v>
      </c>
      <c r="L11" t="inlineStr">
        <is>
          <t>No</t>
        </is>
      </c>
      <c r="M11" t="inlineStr">
        <is>
          <t>Yes</t>
        </is>
      </c>
      <c r="N11" t="n">
        <v>1</v>
      </c>
      <c r="O11" t="inlineStr">
        <is>
          <t>No</t>
        </is>
      </c>
      <c r="P11" t="n">
        <v>0</v>
      </c>
      <c r="R11" t="n">
        <v>0</v>
      </c>
      <c r="S11" t="n">
        <v>0</v>
      </c>
      <c r="T11" t="n">
        <v>2</v>
      </c>
      <c r="U11" t="inlineStr">
        <is>
          <t>Yes</t>
        </is>
      </c>
      <c r="V11" t="inlineStr">
        <is>
          <t>No</t>
        </is>
      </c>
    </row>
    <row r="12">
      <c r="A12" t="inlineStr">
        <is>
          <t>2025 Annual Security Report</t>
        </is>
      </c>
      <c r="B12" s="1">
        <f>HYPERLINK("https://www.calstatela.edu/sites/default/files/2025%20Annual%20Security%20Report.pdf", "https://www.calstatela.edu/sites/default/files/2025%20Annual%20Security%20Report.pdf")</f>
        <v/>
      </c>
      <c r="C12" s="1">
        <f>HYPERLINK("https://www.calstatela.edu/eop/fall-2025-enrichment-activities", "https://www.calstatela.edu/eop/fall-2025-enrichment-activities")</f>
        <v/>
      </c>
      <c r="D12" t="inlineStr">
        <is>
          <t>2026-02-03 19:42:26</t>
        </is>
      </c>
      <c r="E12" t="inlineStr">
        <is>
          <t>d35aba</t>
        </is>
      </c>
      <c r="F12" t="inlineStr">
        <is>
          <t>calstatela.edu_eop</t>
        </is>
      </c>
      <c r="G12" t="inlineStr">
        <is>
          <t>CSULA-content-manager_eop</t>
        </is>
      </c>
      <c r="H12" t="n">
        <v>1</v>
      </c>
      <c r="I12" t="n">
        <v>4</v>
      </c>
      <c r="J12" t="inlineStr">
        <is>
          <t>No</t>
        </is>
      </c>
      <c r="K12" t="n">
        <v>1</v>
      </c>
      <c r="L12" t="inlineStr">
        <is>
          <t>No</t>
        </is>
      </c>
      <c r="M12" t="inlineStr">
        <is>
          <t>Yes</t>
        </is>
      </c>
      <c r="N12" t="n">
        <v>1</v>
      </c>
      <c r="O12" t="inlineStr">
        <is>
          <t>No</t>
        </is>
      </c>
      <c r="P12" t="n">
        <v>0</v>
      </c>
      <c r="R12" t="n">
        <v>0</v>
      </c>
      <c r="S12" t="n">
        <v>0</v>
      </c>
      <c r="T12" t="n">
        <v>4</v>
      </c>
      <c r="U12" t="inlineStr">
        <is>
          <t>Yes</t>
        </is>
      </c>
      <c r="V12" t="inlineStr">
        <is>
          <t>No</t>
        </is>
      </c>
    </row>
    <row r="13">
      <c r="A13" t="inlineStr">
        <is>
          <t>2026 Campus Safety Plan</t>
        </is>
      </c>
      <c r="B13" s="1">
        <f>HYPERLINK("https://www.calstatela.edu/sites/default/files/2026%20Campus%20Safety%20Plan.pdf", "https://www.calstatela.edu/sites/default/files/2026%20Campus%20Safety%20Plan.pdf")</f>
        <v/>
      </c>
      <c r="C13" s="1">
        <f>HYPERLINK("https://www.calstatela.edu/eop/fall-2025-enrichment-activities", "https://www.calstatela.edu/eop/fall-2025-enrichment-activities")</f>
        <v/>
      </c>
      <c r="D13" t="inlineStr">
        <is>
          <t>2026-02-03 19:42:26</t>
        </is>
      </c>
      <c r="E13" t="inlineStr">
        <is>
          <t>69529a</t>
        </is>
      </c>
      <c r="F13" t="inlineStr">
        <is>
          <t>calstatela.edu_eop</t>
        </is>
      </c>
      <c r="G13" t="inlineStr">
        <is>
          <t>CSULA-content-manager_eop</t>
        </is>
      </c>
      <c r="H13" t="n">
        <v>1</v>
      </c>
      <c r="I13" t="n">
        <v>2</v>
      </c>
      <c r="J13" t="inlineStr">
        <is>
          <t>No</t>
        </is>
      </c>
      <c r="K13" t="n">
        <v>1</v>
      </c>
      <c r="L13" t="inlineStr">
        <is>
          <t>No</t>
        </is>
      </c>
      <c r="M13" t="inlineStr">
        <is>
          <t>Yes</t>
        </is>
      </c>
      <c r="N13" t="n">
        <v>1</v>
      </c>
      <c r="O13" t="inlineStr">
        <is>
          <t>No</t>
        </is>
      </c>
      <c r="P13" t="n">
        <v>0</v>
      </c>
      <c r="R13" t="n">
        <v>0</v>
      </c>
      <c r="S13" t="n">
        <v>0</v>
      </c>
      <c r="T13" t="n">
        <v>2</v>
      </c>
      <c r="U13" t="inlineStr">
        <is>
          <t>Yes</t>
        </is>
      </c>
      <c r="V13" t="inlineStr">
        <is>
          <t>No</t>
        </is>
      </c>
    </row>
    <row r="14">
      <c r="A14" t="inlineStr">
        <is>
          <t>2025 Annual Security Report</t>
        </is>
      </c>
      <c r="B14" s="1">
        <f>HYPERLINK("https://www.calstatela.edu/sites/default/files/2025%20Annual%20Security%20Report.pdf", "https://www.calstatela.edu/sites/default/files/2025%20Annual%20Security%20Report.pdf")</f>
        <v/>
      </c>
      <c r="C14" s="1">
        <f>HYPERLINK("https://www.calstatela.edu/eop/current-eop-students", "https://www.calstatela.edu/eop/current-eop-students")</f>
        <v/>
      </c>
      <c r="D14" t="inlineStr">
        <is>
          <t>2026-02-03 19:42:26</t>
        </is>
      </c>
      <c r="E14" t="inlineStr">
        <is>
          <t>d35aba</t>
        </is>
      </c>
      <c r="F14" t="inlineStr">
        <is>
          <t>calstatela.edu_eop</t>
        </is>
      </c>
      <c r="G14" t="inlineStr">
        <is>
          <t>CSULA-content-manager_eop</t>
        </is>
      </c>
      <c r="H14" t="n">
        <v>1</v>
      </c>
      <c r="I14" t="n">
        <v>4</v>
      </c>
      <c r="J14" t="inlineStr">
        <is>
          <t>No</t>
        </is>
      </c>
      <c r="K14" t="n">
        <v>1</v>
      </c>
      <c r="L14" t="inlineStr">
        <is>
          <t>No</t>
        </is>
      </c>
      <c r="M14" t="inlineStr">
        <is>
          <t>Yes</t>
        </is>
      </c>
      <c r="N14" t="n">
        <v>1</v>
      </c>
      <c r="O14" t="inlineStr">
        <is>
          <t>No</t>
        </is>
      </c>
      <c r="P14" t="n">
        <v>0</v>
      </c>
      <c r="R14" t="n">
        <v>0</v>
      </c>
      <c r="S14" t="n">
        <v>0</v>
      </c>
      <c r="T14" t="n">
        <v>4</v>
      </c>
      <c r="U14" t="inlineStr">
        <is>
          <t>Yes</t>
        </is>
      </c>
      <c r="V14" t="inlineStr">
        <is>
          <t>No</t>
        </is>
      </c>
    </row>
    <row r="15">
      <c r="A15" t="inlineStr">
        <is>
          <t>2026 Campus Safety Plan</t>
        </is>
      </c>
      <c r="B15" s="1">
        <f>HYPERLINK("https://www.calstatela.edu/sites/default/files/2026%20Campus%20Safety%20Plan.pdf", "https://www.calstatela.edu/sites/default/files/2026%20Campus%20Safety%20Plan.pdf")</f>
        <v/>
      </c>
      <c r="C15" s="1">
        <f>HYPERLINK("https://www.calstatela.edu/eop/current-eop-students", "https://www.calstatela.edu/eop/current-eop-students")</f>
        <v/>
      </c>
      <c r="D15" t="inlineStr">
        <is>
          <t>2026-02-03 19:42:26</t>
        </is>
      </c>
      <c r="E15" t="inlineStr">
        <is>
          <t>69529a</t>
        </is>
      </c>
      <c r="F15" t="inlineStr">
        <is>
          <t>calstatela.edu_eop</t>
        </is>
      </c>
      <c r="G15" t="inlineStr">
        <is>
          <t>CSULA-content-manager_eop</t>
        </is>
      </c>
      <c r="H15" t="n">
        <v>1</v>
      </c>
      <c r="I15" t="n">
        <v>2</v>
      </c>
      <c r="J15" t="inlineStr">
        <is>
          <t>No</t>
        </is>
      </c>
      <c r="K15" t="n">
        <v>1</v>
      </c>
      <c r="L15" t="inlineStr">
        <is>
          <t>No</t>
        </is>
      </c>
      <c r="M15" t="inlineStr">
        <is>
          <t>Yes</t>
        </is>
      </c>
      <c r="N15" t="n">
        <v>1</v>
      </c>
      <c r="O15" t="inlineStr">
        <is>
          <t>No</t>
        </is>
      </c>
      <c r="P15" t="n">
        <v>0</v>
      </c>
      <c r="R15" t="n">
        <v>0</v>
      </c>
      <c r="S15" t="n">
        <v>0</v>
      </c>
      <c r="T15" t="n">
        <v>2</v>
      </c>
      <c r="U15" t="inlineStr">
        <is>
          <t>Yes</t>
        </is>
      </c>
      <c r="V15" t="inlineStr">
        <is>
          <t>No</t>
        </is>
      </c>
    </row>
    <row r="16">
      <c r="A16" t="inlineStr">
        <is>
          <t>2025 Annual Security Report</t>
        </is>
      </c>
      <c r="B16" s="1">
        <f>HYPERLINK("https://www.calstatela.edu/sites/default/files/2025%20Annual%20Security%20Report.pdf", "https://www.calstatela.edu/sites/default/files/2025%20Annual%20Security%20Report.pdf")</f>
        <v/>
      </c>
      <c r="C16" s="1">
        <f>HYPERLINK("https://www.calstatela.edu/eop/summer-programs", "https://www.calstatela.edu/eop/summer-programs")</f>
        <v/>
      </c>
      <c r="D16" t="inlineStr">
        <is>
          <t>2026-02-03 19:42:26</t>
        </is>
      </c>
      <c r="E16" t="inlineStr">
        <is>
          <t>d35aba</t>
        </is>
      </c>
      <c r="F16" t="inlineStr">
        <is>
          <t>calstatela.edu_eop</t>
        </is>
      </c>
      <c r="G16" t="inlineStr">
        <is>
          <t>CSULA-content-manager_eop</t>
        </is>
      </c>
      <c r="H16" t="n">
        <v>1</v>
      </c>
      <c r="I16" t="n">
        <v>4</v>
      </c>
      <c r="J16" t="inlineStr">
        <is>
          <t>No</t>
        </is>
      </c>
      <c r="K16" t="n">
        <v>1</v>
      </c>
      <c r="L16" t="inlineStr">
        <is>
          <t>No</t>
        </is>
      </c>
      <c r="M16" t="inlineStr">
        <is>
          <t>Yes</t>
        </is>
      </c>
      <c r="N16" t="n">
        <v>1</v>
      </c>
      <c r="O16" t="inlineStr">
        <is>
          <t>No</t>
        </is>
      </c>
      <c r="P16" t="n">
        <v>0</v>
      </c>
      <c r="R16" t="n">
        <v>0</v>
      </c>
      <c r="S16" t="n">
        <v>0</v>
      </c>
      <c r="T16" t="n">
        <v>4</v>
      </c>
      <c r="U16" t="inlineStr">
        <is>
          <t>Yes</t>
        </is>
      </c>
      <c r="V16" t="inlineStr">
        <is>
          <t>No</t>
        </is>
      </c>
    </row>
    <row r="17">
      <c r="A17" t="inlineStr">
        <is>
          <t>2026 Campus Safety Plan</t>
        </is>
      </c>
      <c r="B17" s="1">
        <f>HYPERLINK("https://www.calstatela.edu/sites/default/files/2026%20Campus%20Safety%20Plan.pdf", "https://www.calstatela.edu/sites/default/files/2026%20Campus%20Safety%20Plan.pdf")</f>
        <v/>
      </c>
      <c r="C17" s="1">
        <f>HYPERLINK("https://www.calstatela.edu/eop/summer-programs", "https://www.calstatela.edu/eop/summer-programs")</f>
        <v/>
      </c>
      <c r="D17" t="inlineStr">
        <is>
          <t>2026-02-03 19:42:26</t>
        </is>
      </c>
      <c r="E17" t="inlineStr">
        <is>
          <t>69529a</t>
        </is>
      </c>
      <c r="F17" t="inlineStr">
        <is>
          <t>calstatela.edu_eop</t>
        </is>
      </c>
      <c r="G17" t="inlineStr">
        <is>
          <t>CSULA-content-manager_eop</t>
        </is>
      </c>
      <c r="H17" t="n">
        <v>1</v>
      </c>
      <c r="I17" t="n">
        <v>2</v>
      </c>
      <c r="J17" t="inlineStr">
        <is>
          <t>No</t>
        </is>
      </c>
      <c r="K17" t="n">
        <v>1</v>
      </c>
      <c r="L17" t="inlineStr">
        <is>
          <t>No</t>
        </is>
      </c>
      <c r="M17" t="inlineStr">
        <is>
          <t>Yes</t>
        </is>
      </c>
      <c r="N17" t="n">
        <v>1</v>
      </c>
      <c r="O17" t="inlineStr">
        <is>
          <t>No</t>
        </is>
      </c>
      <c r="P17" t="n">
        <v>0</v>
      </c>
      <c r="R17" t="n">
        <v>0</v>
      </c>
      <c r="S17" t="n">
        <v>0</v>
      </c>
      <c r="T17" t="n">
        <v>2</v>
      </c>
      <c r="U17" t="inlineStr">
        <is>
          <t>Yes</t>
        </is>
      </c>
      <c r="V17" t="inlineStr">
        <is>
          <t>No</t>
        </is>
      </c>
    </row>
    <row r="18">
      <c r="A18" t="inlineStr">
        <is>
          <t>2025 Annual Security Report</t>
        </is>
      </c>
      <c r="B18" s="1">
        <f>HYPERLINK("https://www.calstatela.edu/sites/default/files/2025%20Annual%20Security%20Report.pdf", "https://www.calstatela.edu/sites/default/files/2025%20Annual%20Security%20Report.pdf")</f>
        <v/>
      </c>
      <c r="C18" s="1">
        <f>HYPERLINK("https://www.calstatela.edu/eop/eop-admissions-0", "https://www.calstatela.edu/eop/eop-admissions-0")</f>
        <v/>
      </c>
      <c r="D18" t="inlineStr">
        <is>
          <t>2026-02-03 19:42:26</t>
        </is>
      </c>
      <c r="E18" t="inlineStr">
        <is>
          <t>d35aba</t>
        </is>
      </c>
      <c r="F18" t="inlineStr">
        <is>
          <t>calstatela.edu_eop</t>
        </is>
      </c>
      <c r="G18" t="inlineStr">
        <is>
          <t>CSULA-content-manager_eop</t>
        </is>
      </c>
      <c r="H18" t="n">
        <v>1</v>
      </c>
      <c r="I18" t="n">
        <v>4</v>
      </c>
      <c r="J18" t="inlineStr">
        <is>
          <t>No</t>
        </is>
      </c>
      <c r="K18" t="n">
        <v>1</v>
      </c>
      <c r="L18" t="inlineStr">
        <is>
          <t>No</t>
        </is>
      </c>
      <c r="M18" t="inlineStr">
        <is>
          <t>Yes</t>
        </is>
      </c>
      <c r="N18" t="n">
        <v>1</v>
      </c>
      <c r="O18" t="inlineStr">
        <is>
          <t>No</t>
        </is>
      </c>
      <c r="P18" t="n">
        <v>0</v>
      </c>
      <c r="R18" t="n">
        <v>0</v>
      </c>
      <c r="S18" t="n">
        <v>0</v>
      </c>
      <c r="T18" t="n">
        <v>4</v>
      </c>
      <c r="U18" t="inlineStr">
        <is>
          <t>Yes</t>
        </is>
      </c>
      <c r="V18" t="inlineStr">
        <is>
          <t>No</t>
        </is>
      </c>
    </row>
    <row r="19">
      <c r="A19" t="inlineStr">
        <is>
          <t>2026 Campus Safety Plan</t>
        </is>
      </c>
      <c r="B19" s="1">
        <f>HYPERLINK("https://www.calstatela.edu/sites/default/files/2026%20Campus%20Safety%20Plan.pdf", "https://www.calstatela.edu/sites/default/files/2026%20Campus%20Safety%20Plan.pdf")</f>
        <v/>
      </c>
      <c r="C19" s="1">
        <f>HYPERLINK("https://www.calstatela.edu/eop/eop-admissions-0", "https://www.calstatela.edu/eop/eop-admissions-0")</f>
        <v/>
      </c>
      <c r="D19" t="inlineStr">
        <is>
          <t>2026-02-03 19:42:26</t>
        </is>
      </c>
      <c r="E19" t="inlineStr">
        <is>
          <t>69529a</t>
        </is>
      </c>
      <c r="F19" t="inlineStr">
        <is>
          <t>calstatela.edu_eop</t>
        </is>
      </c>
      <c r="G19" t="inlineStr">
        <is>
          <t>CSULA-content-manager_eop</t>
        </is>
      </c>
      <c r="H19" t="n">
        <v>1</v>
      </c>
      <c r="I19" t="n">
        <v>2</v>
      </c>
      <c r="J19" t="inlineStr">
        <is>
          <t>No</t>
        </is>
      </c>
      <c r="K19" t="n">
        <v>1</v>
      </c>
      <c r="L19" t="inlineStr">
        <is>
          <t>No</t>
        </is>
      </c>
      <c r="M19" t="inlineStr">
        <is>
          <t>Yes</t>
        </is>
      </c>
      <c r="N19" t="n">
        <v>1</v>
      </c>
      <c r="O19" t="inlineStr">
        <is>
          <t>No</t>
        </is>
      </c>
      <c r="P19" t="n">
        <v>0</v>
      </c>
      <c r="R19" t="n">
        <v>0</v>
      </c>
      <c r="S19" t="n">
        <v>0</v>
      </c>
      <c r="T19" t="n">
        <v>2</v>
      </c>
      <c r="U19" t="inlineStr">
        <is>
          <t>Yes</t>
        </is>
      </c>
      <c r="V19" t="inlineStr">
        <is>
          <t>No</t>
        </is>
      </c>
    </row>
    <row r="20">
      <c r="A20" t="inlineStr">
        <is>
          <t>2025 Annual Security Report</t>
        </is>
      </c>
      <c r="B20" s="1">
        <f>HYPERLINK("https://www.calstatela.edu/sites/default/files/2025%20Annual%20Security%20Report.pdf", "https://www.calstatela.edu/sites/default/files/2025%20Annual%20Security%20Report.pdf")</f>
        <v/>
      </c>
      <c r="C20" s="1">
        <f>HYPERLINK("https://www.calstatela.edu/eop/coping-college-stress", "https://www.calstatela.edu/eop/coping-college-stress")</f>
        <v/>
      </c>
      <c r="D20" t="inlineStr">
        <is>
          <t>2026-02-03 19:42:26</t>
        </is>
      </c>
      <c r="E20" t="inlineStr">
        <is>
          <t>d35aba</t>
        </is>
      </c>
      <c r="F20" t="inlineStr">
        <is>
          <t>calstatela.edu_eop</t>
        </is>
      </c>
      <c r="G20" t="inlineStr">
        <is>
          <t>CSULA-content-manager_eop</t>
        </is>
      </c>
      <c r="H20" t="n">
        <v>1</v>
      </c>
      <c r="I20" t="n">
        <v>4</v>
      </c>
      <c r="J20" t="inlineStr">
        <is>
          <t>No</t>
        </is>
      </c>
      <c r="K20" t="n">
        <v>1</v>
      </c>
      <c r="L20" t="inlineStr">
        <is>
          <t>No</t>
        </is>
      </c>
      <c r="M20" t="inlineStr">
        <is>
          <t>Yes</t>
        </is>
      </c>
      <c r="N20" t="n">
        <v>1</v>
      </c>
      <c r="O20" t="inlineStr">
        <is>
          <t>No</t>
        </is>
      </c>
      <c r="P20" t="n">
        <v>0</v>
      </c>
      <c r="R20" t="n">
        <v>0</v>
      </c>
      <c r="S20" t="n">
        <v>0</v>
      </c>
      <c r="T20" t="n">
        <v>4</v>
      </c>
      <c r="U20" t="inlineStr">
        <is>
          <t>Yes</t>
        </is>
      </c>
      <c r="V20" t="inlineStr">
        <is>
          <t>No</t>
        </is>
      </c>
    </row>
    <row r="21">
      <c r="A21" t="inlineStr">
        <is>
          <t>2026 Campus Safety Plan</t>
        </is>
      </c>
      <c r="B21" s="1">
        <f>HYPERLINK("https://www.calstatela.edu/sites/default/files/2026%20Campus%20Safety%20Plan.pdf", "https://www.calstatela.edu/sites/default/files/2026%20Campus%20Safety%20Plan.pdf")</f>
        <v/>
      </c>
      <c r="C21" s="1">
        <f>HYPERLINK("https://www.calstatela.edu/eop/coping-college-stress", "https://www.calstatela.edu/eop/coping-college-stress")</f>
        <v/>
      </c>
      <c r="D21" t="inlineStr">
        <is>
          <t>2026-02-03 19:42:26</t>
        </is>
      </c>
      <c r="E21" t="inlineStr">
        <is>
          <t>69529a</t>
        </is>
      </c>
      <c r="F21" t="inlineStr">
        <is>
          <t>calstatela.edu_eop</t>
        </is>
      </c>
      <c r="G21" t="inlineStr">
        <is>
          <t>CSULA-content-manager_eop</t>
        </is>
      </c>
      <c r="H21" t="n">
        <v>1</v>
      </c>
      <c r="I21" t="n">
        <v>2</v>
      </c>
      <c r="J21" t="inlineStr">
        <is>
          <t>No</t>
        </is>
      </c>
      <c r="K21" t="n">
        <v>1</v>
      </c>
      <c r="L21" t="inlineStr">
        <is>
          <t>No</t>
        </is>
      </c>
      <c r="M21" t="inlineStr">
        <is>
          <t>Yes</t>
        </is>
      </c>
      <c r="N21" t="n">
        <v>1</v>
      </c>
      <c r="O21" t="inlineStr">
        <is>
          <t>No</t>
        </is>
      </c>
      <c r="P21" t="n">
        <v>0</v>
      </c>
      <c r="R21" t="n">
        <v>0</v>
      </c>
      <c r="S21" t="n">
        <v>0</v>
      </c>
      <c r="T21" t="n">
        <v>2</v>
      </c>
      <c r="U21" t="inlineStr">
        <is>
          <t>Yes</t>
        </is>
      </c>
      <c r="V21" t="inlineStr">
        <is>
          <t>No</t>
        </is>
      </c>
    </row>
    <row r="22">
      <c r="A22" t="inlineStr">
        <is>
          <t>2025 Annual Security Report</t>
        </is>
      </c>
      <c r="B22" s="1">
        <f>HYPERLINK("https://www.calstatela.edu/sites/default/files/2025%20Annual%20Security%20Report.pdf", "https://www.calstatela.edu/sites/default/files/2025%20Annual%20Security%20Report.pdf")</f>
        <v/>
      </c>
      <c r="C22" s="1">
        <f>HYPERLINK("https://www.calstatela.edu/eop/eop-students-building-confidence-when-experiencing-impostor-syndrome", "https://www.calstatela.edu/eop/eop-students-building-confidence-when-experiencing-impostor-syndrome")</f>
        <v/>
      </c>
      <c r="D22" t="inlineStr">
        <is>
          <t>2026-02-03 19:42:26</t>
        </is>
      </c>
      <c r="E22" t="inlineStr">
        <is>
          <t>d35aba</t>
        </is>
      </c>
      <c r="F22" t="inlineStr">
        <is>
          <t>calstatela.edu_eop</t>
        </is>
      </c>
      <c r="G22" t="inlineStr">
        <is>
          <t>CSULA-content-manager_eop</t>
        </is>
      </c>
      <c r="H22" t="n">
        <v>1</v>
      </c>
      <c r="I22" t="n">
        <v>4</v>
      </c>
      <c r="J22" t="inlineStr">
        <is>
          <t>No</t>
        </is>
      </c>
      <c r="K22" t="n">
        <v>1</v>
      </c>
      <c r="L22" t="inlineStr">
        <is>
          <t>No</t>
        </is>
      </c>
      <c r="M22" t="inlineStr">
        <is>
          <t>Yes</t>
        </is>
      </c>
      <c r="N22" t="n">
        <v>1</v>
      </c>
      <c r="O22" t="inlineStr">
        <is>
          <t>No</t>
        </is>
      </c>
      <c r="P22" t="n">
        <v>0</v>
      </c>
      <c r="R22" t="n">
        <v>0</v>
      </c>
      <c r="S22" t="n">
        <v>0</v>
      </c>
      <c r="T22" t="n">
        <v>4</v>
      </c>
      <c r="U22" t="inlineStr">
        <is>
          <t>Yes</t>
        </is>
      </c>
      <c r="V22" t="inlineStr">
        <is>
          <t>No</t>
        </is>
      </c>
    </row>
    <row r="23">
      <c r="A23" t="inlineStr">
        <is>
          <t>2026 Campus Safety Plan</t>
        </is>
      </c>
      <c r="B23" s="1">
        <f>HYPERLINK("https://www.calstatela.edu/sites/default/files/2026%20Campus%20Safety%20Plan.pdf", "https://www.calstatela.edu/sites/default/files/2026%20Campus%20Safety%20Plan.pdf")</f>
        <v/>
      </c>
      <c r="C23" s="1">
        <f>HYPERLINK("https://www.calstatela.edu/eop/eop-students-building-confidence-when-experiencing-impostor-syndrome", "https://www.calstatela.edu/eop/eop-students-building-confidence-when-experiencing-impostor-syndrome")</f>
        <v/>
      </c>
      <c r="D23" t="inlineStr">
        <is>
          <t>2026-02-03 19:42:26</t>
        </is>
      </c>
      <c r="E23" t="inlineStr">
        <is>
          <t>69529a</t>
        </is>
      </c>
      <c r="F23" t="inlineStr">
        <is>
          <t>calstatela.edu_eop</t>
        </is>
      </c>
      <c r="G23" t="inlineStr">
        <is>
          <t>CSULA-content-manager_eop</t>
        </is>
      </c>
      <c r="H23" t="n">
        <v>1</v>
      </c>
      <c r="I23" t="n">
        <v>2</v>
      </c>
      <c r="J23" t="inlineStr">
        <is>
          <t>No</t>
        </is>
      </c>
      <c r="K23" t="n">
        <v>1</v>
      </c>
      <c r="L23" t="inlineStr">
        <is>
          <t>No</t>
        </is>
      </c>
      <c r="M23" t="inlineStr">
        <is>
          <t>Yes</t>
        </is>
      </c>
      <c r="N23" t="n">
        <v>1</v>
      </c>
      <c r="O23" t="inlineStr">
        <is>
          <t>No</t>
        </is>
      </c>
      <c r="P23" t="n">
        <v>0</v>
      </c>
      <c r="R23" t="n">
        <v>0</v>
      </c>
      <c r="S23" t="n">
        <v>0</v>
      </c>
      <c r="T23" t="n">
        <v>2</v>
      </c>
      <c r="U23" t="inlineStr">
        <is>
          <t>Yes</t>
        </is>
      </c>
      <c r="V23" t="inlineStr">
        <is>
          <t>No</t>
        </is>
      </c>
    </row>
    <row r="24">
      <c r="A24" t="inlineStr">
        <is>
          <t>2025 Annual Security Report</t>
        </is>
      </c>
      <c r="B24" s="1">
        <f>HYPERLINK("https://www.calstatela.edu/sites/default/files/2025%20Annual%20Security%20Report.pdf", "https://www.calstatela.edu/sites/default/files/2025%20Annual%20Security%20Report.pdf")</f>
        <v/>
      </c>
      <c r="C24" s="1">
        <f>HYPERLINK("https://www.calstatela.edu/eop/strategic-use-time-unlock-your-full-potential", "https://www.calstatela.edu/eop/strategic-use-time-unlock-your-full-potential")</f>
        <v/>
      </c>
      <c r="D24" t="inlineStr">
        <is>
          <t>2026-02-03 19:42:26</t>
        </is>
      </c>
      <c r="E24" t="inlineStr">
        <is>
          <t>d35aba</t>
        </is>
      </c>
      <c r="F24" t="inlineStr">
        <is>
          <t>calstatela.edu_eop</t>
        </is>
      </c>
      <c r="G24" t="inlineStr">
        <is>
          <t>CSULA-content-manager_eop</t>
        </is>
      </c>
      <c r="H24" t="n">
        <v>1</v>
      </c>
      <c r="I24" t="n">
        <v>4</v>
      </c>
      <c r="J24" t="inlineStr">
        <is>
          <t>No</t>
        </is>
      </c>
      <c r="K24" t="n">
        <v>1</v>
      </c>
      <c r="L24" t="inlineStr">
        <is>
          <t>No</t>
        </is>
      </c>
      <c r="M24" t="inlineStr">
        <is>
          <t>Yes</t>
        </is>
      </c>
      <c r="N24" t="n">
        <v>1</v>
      </c>
      <c r="O24" t="inlineStr">
        <is>
          <t>No</t>
        </is>
      </c>
      <c r="P24" t="n">
        <v>0</v>
      </c>
      <c r="R24" t="n">
        <v>0</v>
      </c>
      <c r="S24" t="n">
        <v>0</v>
      </c>
      <c r="T24" t="n">
        <v>4</v>
      </c>
      <c r="U24" t="inlineStr">
        <is>
          <t>Yes</t>
        </is>
      </c>
      <c r="V24" t="inlineStr">
        <is>
          <t>No</t>
        </is>
      </c>
    </row>
    <row r="25">
      <c r="A25" t="inlineStr">
        <is>
          <t>2026 Campus Safety Plan</t>
        </is>
      </c>
      <c r="B25" s="1">
        <f>HYPERLINK("https://www.calstatela.edu/sites/default/files/2026%20Campus%20Safety%20Plan.pdf", "https://www.calstatela.edu/sites/default/files/2026%20Campus%20Safety%20Plan.pdf")</f>
        <v/>
      </c>
      <c r="C25" s="1">
        <f>HYPERLINK("https://www.calstatela.edu/eop/strategic-use-time-unlock-your-full-potential", "https://www.calstatela.edu/eop/strategic-use-time-unlock-your-full-potential")</f>
        <v/>
      </c>
      <c r="D25" t="inlineStr">
        <is>
          <t>2026-02-03 19:42:26</t>
        </is>
      </c>
      <c r="E25" t="inlineStr">
        <is>
          <t>69529a</t>
        </is>
      </c>
      <c r="F25" t="inlineStr">
        <is>
          <t>calstatela.edu_eop</t>
        </is>
      </c>
      <c r="G25" t="inlineStr">
        <is>
          <t>CSULA-content-manager_eop</t>
        </is>
      </c>
      <c r="H25" t="n">
        <v>1</v>
      </c>
      <c r="I25" t="n">
        <v>2</v>
      </c>
      <c r="J25" t="inlineStr">
        <is>
          <t>No</t>
        </is>
      </c>
      <c r="K25" t="n">
        <v>1</v>
      </c>
      <c r="L25" t="inlineStr">
        <is>
          <t>No</t>
        </is>
      </c>
      <c r="M25" t="inlineStr">
        <is>
          <t>Yes</t>
        </is>
      </c>
      <c r="N25" t="n">
        <v>1</v>
      </c>
      <c r="O25" t="inlineStr">
        <is>
          <t>No</t>
        </is>
      </c>
      <c r="P25" t="n">
        <v>0</v>
      </c>
      <c r="R25" t="n">
        <v>0</v>
      </c>
      <c r="S25" t="n">
        <v>0</v>
      </c>
      <c r="T25" t="n">
        <v>2</v>
      </c>
      <c r="U25" t="inlineStr">
        <is>
          <t>Yes</t>
        </is>
      </c>
      <c r="V25" t="inlineStr">
        <is>
          <t>No</t>
        </is>
      </c>
    </row>
    <row r="26">
      <c r="A26" t="inlineStr">
        <is>
          <t>2025 Annual Security Report</t>
        </is>
      </c>
      <c r="B26" s="1">
        <f>HYPERLINK("https://www.calstatela.edu/sites/default/files/2025%20Annual%20Security%20Report.pdf", "https://www.calstatela.edu/sites/default/files/2025%20Annual%20Security%20Report.pdf")</f>
        <v/>
      </c>
      <c r="C26" s="1">
        <f>HYPERLINK("https://www.calstatela.edu/eop/create-effective-study-guides-idea-method-study-smarter-not-harder", "https://www.calstatela.edu/eop/create-effective-study-guides-idea-method-study-smarter-not-harder")</f>
        <v/>
      </c>
      <c r="D26" t="inlineStr">
        <is>
          <t>2026-02-03 19:42:26</t>
        </is>
      </c>
      <c r="E26" t="inlineStr">
        <is>
          <t>d35aba</t>
        </is>
      </c>
      <c r="F26" t="inlineStr">
        <is>
          <t>calstatela.edu_eop</t>
        </is>
      </c>
      <c r="G26" t="inlineStr">
        <is>
          <t>CSULA-content-manager_eop</t>
        </is>
      </c>
      <c r="H26" t="n">
        <v>1</v>
      </c>
      <c r="I26" t="n">
        <v>4</v>
      </c>
      <c r="J26" t="inlineStr">
        <is>
          <t>No</t>
        </is>
      </c>
      <c r="K26" t="n">
        <v>1</v>
      </c>
      <c r="L26" t="inlineStr">
        <is>
          <t>No</t>
        </is>
      </c>
      <c r="M26" t="inlineStr">
        <is>
          <t>Yes</t>
        </is>
      </c>
      <c r="N26" t="n">
        <v>1</v>
      </c>
      <c r="O26" t="inlineStr">
        <is>
          <t>No</t>
        </is>
      </c>
      <c r="P26" t="n">
        <v>0</v>
      </c>
      <c r="R26" t="n">
        <v>0</v>
      </c>
      <c r="S26" t="n">
        <v>0</v>
      </c>
      <c r="T26" t="n">
        <v>4</v>
      </c>
      <c r="U26" t="inlineStr">
        <is>
          <t>Yes</t>
        </is>
      </c>
      <c r="V26" t="inlineStr">
        <is>
          <t>No</t>
        </is>
      </c>
    </row>
    <row r="27">
      <c r="A27" t="inlineStr">
        <is>
          <t>2026 Campus Safety Plan</t>
        </is>
      </c>
      <c r="B27" s="1">
        <f>HYPERLINK("https://www.calstatela.edu/sites/default/files/2026%20Campus%20Safety%20Plan.pdf", "https://www.calstatela.edu/sites/default/files/2026%20Campus%20Safety%20Plan.pdf")</f>
        <v/>
      </c>
      <c r="C27" s="1">
        <f>HYPERLINK("https://www.calstatela.edu/eop/create-effective-study-guides-idea-method-study-smarter-not-harder", "https://www.calstatela.edu/eop/create-effective-study-guides-idea-method-study-smarter-not-harder")</f>
        <v/>
      </c>
      <c r="D27" t="inlineStr">
        <is>
          <t>2026-02-03 19:42:26</t>
        </is>
      </c>
      <c r="E27" t="inlineStr">
        <is>
          <t>69529a</t>
        </is>
      </c>
      <c r="F27" t="inlineStr">
        <is>
          <t>calstatela.edu_eop</t>
        </is>
      </c>
      <c r="G27" t="inlineStr">
        <is>
          <t>CSULA-content-manager_eop</t>
        </is>
      </c>
      <c r="H27" t="n">
        <v>1</v>
      </c>
      <c r="I27" t="n">
        <v>2</v>
      </c>
      <c r="J27" t="inlineStr">
        <is>
          <t>No</t>
        </is>
      </c>
      <c r="K27" t="n">
        <v>1</v>
      </c>
      <c r="L27" t="inlineStr">
        <is>
          <t>No</t>
        </is>
      </c>
      <c r="M27" t="inlineStr">
        <is>
          <t>Yes</t>
        </is>
      </c>
      <c r="N27" t="n">
        <v>1</v>
      </c>
      <c r="O27" t="inlineStr">
        <is>
          <t>No</t>
        </is>
      </c>
      <c r="P27" t="n">
        <v>0</v>
      </c>
      <c r="R27" t="n">
        <v>0</v>
      </c>
      <c r="S27" t="n">
        <v>0</v>
      </c>
      <c r="T27" t="n">
        <v>2</v>
      </c>
      <c r="U27" t="inlineStr">
        <is>
          <t>Yes</t>
        </is>
      </c>
      <c r="V27" t="inlineStr">
        <is>
          <t>No</t>
        </is>
      </c>
    </row>
    <row r="28">
      <c r="A28" t="inlineStr">
        <is>
          <t>2025 Annual Security Report</t>
        </is>
      </c>
      <c r="B28" s="1">
        <f>HYPERLINK("https://www.calstatela.edu/sites/default/files/2025%20Annual%20Security%20Report.pdf", "https://www.calstatela.edu/sites/default/files/2025%20Annual%20Security%20Report.pdf")</f>
        <v/>
      </c>
      <c r="C28" s="1">
        <f>HYPERLINK("https://www.calstatela.edu/eop/discover-your-learning-style-learn-how-you-learn-best", "https://www.calstatela.edu/eop/discover-your-learning-style-learn-how-you-learn-best")</f>
        <v/>
      </c>
      <c r="D28" t="inlineStr">
        <is>
          <t>2026-02-03 19:42:26</t>
        </is>
      </c>
      <c r="E28" t="inlineStr">
        <is>
          <t>d35aba</t>
        </is>
      </c>
      <c r="F28" t="inlineStr">
        <is>
          <t>calstatela.edu_eop</t>
        </is>
      </c>
      <c r="G28" t="inlineStr">
        <is>
          <t>CSULA-content-manager_eop</t>
        </is>
      </c>
      <c r="H28" t="n">
        <v>1</v>
      </c>
      <c r="I28" t="n">
        <v>4</v>
      </c>
      <c r="J28" t="inlineStr">
        <is>
          <t>No</t>
        </is>
      </c>
      <c r="K28" t="n">
        <v>1</v>
      </c>
      <c r="L28" t="inlineStr">
        <is>
          <t>No</t>
        </is>
      </c>
      <c r="M28" t="inlineStr">
        <is>
          <t>Yes</t>
        </is>
      </c>
      <c r="N28" t="n">
        <v>1</v>
      </c>
      <c r="O28" t="inlineStr">
        <is>
          <t>No</t>
        </is>
      </c>
      <c r="P28" t="n">
        <v>0</v>
      </c>
      <c r="R28" t="n">
        <v>0</v>
      </c>
      <c r="S28" t="n">
        <v>0</v>
      </c>
      <c r="T28" t="n">
        <v>4</v>
      </c>
      <c r="U28" t="inlineStr">
        <is>
          <t>Yes</t>
        </is>
      </c>
      <c r="V28" t="inlineStr">
        <is>
          <t>No</t>
        </is>
      </c>
    </row>
    <row r="29">
      <c r="A29" t="inlineStr">
        <is>
          <t>2026 Campus Safety Plan</t>
        </is>
      </c>
      <c r="B29" s="1">
        <f>HYPERLINK("https://www.calstatela.edu/sites/default/files/2026%20Campus%20Safety%20Plan.pdf", "https://www.calstatela.edu/sites/default/files/2026%20Campus%20Safety%20Plan.pdf")</f>
        <v/>
      </c>
      <c r="C29" s="1">
        <f>HYPERLINK("https://www.calstatela.edu/eop/discover-your-learning-style-learn-how-you-learn-best", "https://www.calstatela.edu/eop/discover-your-learning-style-learn-how-you-learn-best")</f>
        <v/>
      </c>
      <c r="D29" t="inlineStr">
        <is>
          <t>2026-02-03 19:42:26</t>
        </is>
      </c>
      <c r="E29" t="inlineStr">
        <is>
          <t>69529a</t>
        </is>
      </c>
      <c r="F29" t="inlineStr">
        <is>
          <t>calstatela.edu_eop</t>
        </is>
      </c>
      <c r="G29" t="inlineStr">
        <is>
          <t>CSULA-content-manager_eop</t>
        </is>
      </c>
      <c r="H29" t="n">
        <v>1</v>
      </c>
      <c r="I29" t="n">
        <v>2</v>
      </c>
      <c r="J29" t="inlineStr">
        <is>
          <t>No</t>
        </is>
      </c>
      <c r="K29" t="n">
        <v>1</v>
      </c>
      <c r="L29" t="inlineStr">
        <is>
          <t>No</t>
        </is>
      </c>
      <c r="M29" t="inlineStr">
        <is>
          <t>Yes</t>
        </is>
      </c>
      <c r="N29" t="n">
        <v>1</v>
      </c>
      <c r="O29" t="inlineStr">
        <is>
          <t>No</t>
        </is>
      </c>
      <c r="P29" t="n">
        <v>0</v>
      </c>
      <c r="R29" t="n">
        <v>0</v>
      </c>
      <c r="S29" t="n">
        <v>0</v>
      </c>
      <c r="T29" t="n">
        <v>2</v>
      </c>
      <c r="U29" t="inlineStr">
        <is>
          <t>Yes</t>
        </is>
      </c>
      <c r="V29" t="inlineStr">
        <is>
          <t>No</t>
        </is>
      </c>
    </row>
    <row r="30">
      <c r="A30" t="inlineStr">
        <is>
          <t>2025 Annual Security Report</t>
        </is>
      </c>
      <c r="B30" s="1">
        <f>HYPERLINK("https://www.calstatela.edu/sites/default/files/2025%20Annual%20Security%20Report.pdf", "https://www.calstatela.edu/sites/default/files/2025%20Annual%20Security%20Report.pdf")</f>
        <v/>
      </c>
      <c r="C30" s="1">
        <f>HYPERLINK("https://www.calstatela.edu/eop/latinx/hispanic-heritage-month-celebration", "https://www.calstatela.edu/eop/latinx/hispanic-heritage-month-celebration")</f>
        <v/>
      </c>
      <c r="D30" t="inlineStr">
        <is>
          <t>2026-02-03 19:42:26</t>
        </is>
      </c>
      <c r="E30" t="inlineStr">
        <is>
          <t>d35aba</t>
        </is>
      </c>
      <c r="F30" t="inlineStr">
        <is>
          <t>calstatela.edu_eop</t>
        </is>
      </c>
      <c r="G30" t="inlineStr">
        <is>
          <t>CSULA-content-manager_eop</t>
        </is>
      </c>
      <c r="H30" t="n">
        <v>1</v>
      </c>
      <c r="I30" t="n">
        <v>4</v>
      </c>
      <c r="J30" t="inlineStr">
        <is>
          <t>No</t>
        </is>
      </c>
      <c r="K30" t="n">
        <v>1</v>
      </c>
      <c r="L30" t="inlineStr">
        <is>
          <t>No</t>
        </is>
      </c>
      <c r="M30" t="inlineStr">
        <is>
          <t>Yes</t>
        </is>
      </c>
      <c r="N30" t="n">
        <v>1</v>
      </c>
      <c r="O30" t="inlineStr">
        <is>
          <t>No</t>
        </is>
      </c>
      <c r="P30" t="n">
        <v>0</v>
      </c>
      <c r="R30" t="n">
        <v>0</v>
      </c>
      <c r="S30" t="n">
        <v>0</v>
      </c>
      <c r="T30" t="n">
        <v>4</v>
      </c>
      <c r="U30" t="inlineStr">
        <is>
          <t>Yes</t>
        </is>
      </c>
      <c r="V30" t="inlineStr">
        <is>
          <t>No</t>
        </is>
      </c>
    </row>
    <row r="31">
      <c r="A31" t="inlineStr">
        <is>
          <t>2026 Campus Safety Plan</t>
        </is>
      </c>
      <c r="B31" s="1">
        <f>HYPERLINK("https://www.calstatela.edu/sites/default/files/2026%20Campus%20Safety%20Plan.pdf", "https://www.calstatela.edu/sites/default/files/2026%20Campus%20Safety%20Plan.pdf")</f>
        <v/>
      </c>
      <c r="C31" s="1">
        <f>HYPERLINK("https://www.calstatela.edu/eop/latinx/hispanic-heritage-month-celebration", "https://www.calstatela.edu/eop/latinx/hispanic-heritage-month-celebration")</f>
        <v/>
      </c>
      <c r="D31" t="inlineStr">
        <is>
          <t>2026-02-03 19:42:26</t>
        </is>
      </c>
      <c r="E31" t="inlineStr">
        <is>
          <t>69529a</t>
        </is>
      </c>
      <c r="F31" t="inlineStr">
        <is>
          <t>calstatela.edu_eop</t>
        </is>
      </c>
      <c r="G31" t="inlineStr">
        <is>
          <t>CSULA-content-manager_eop</t>
        </is>
      </c>
      <c r="H31" t="n">
        <v>1</v>
      </c>
      <c r="I31" t="n">
        <v>2</v>
      </c>
      <c r="J31" t="inlineStr">
        <is>
          <t>No</t>
        </is>
      </c>
      <c r="K31" t="n">
        <v>1</v>
      </c>
      <c r="L31" t="inlineStr">
        <is>
          <t>No</t>
        </is>
      </c>
      <c r="M31" t="inlineStr">
        <is>
          <t>Yes</t>
        </is>
      </c>
      <c r="N31" t="n">
        <v>1</v>
      </c>
      <c r="O31" t="inlineStr">
        <is>
          <t>No</t>
        </is>
      </c>
      <c r="P31" t="n">
        <v>0</v>
      </c>
      <c r="R31" t="n">
        <v>0</v>
      </c>
      <c r="S31" t="n">
        <v>0</v>
      </c>
      <c r="T31" t="n">
        <v>2</v>
      </c>
      <c r="U31" t="inlineStr">
        <is>
          <t>Yes</t>
        </is>
      </c>
      <c r="V31" t="inlineStr">
        <is>
          <t>No</t>
        </is>
      </c>
    </row>
    <row r="32">
      <c r="A32" t="inlineStr">
        <is>
          <t>2025 Annual Security Report</t>
        </is>
      </c>
      <c r="B32" s="1">
        <f>HYPERLINK("https://www.calstatela.edu/sites/default/files/2025%20Annual%20Security%20Report.pdf", "https://www.calstatela.edu/sites/default/files/2025%20Annual%20Security%20Report.pdf")</f>
        <v/>
      </c>
      <c r="C32" s="1">
        <f>HYPERLINK("https://www.calstatela.edu/eop/open-house-kick-eop-history-month", "https://www.calstatela.edu/eop/open-house-kick-eop-history-month")</f>
        <v/>
      </c>
      <c r="D32" t="inlineStr">
        <is>
          <t>2026-02-03 19:42:26</t>
        </is>
      </c>
      <c r="E32" t="inlineStr">
        <is>
          <t>d35aba</t>
        </is>
      </c>
      <c r="F32" t="inlineStr">
        <is>
          <t>calstatela.edu_eop</t>
        </is>
      </c>
      <c r="G32" t="inlineStr">
        <is>
          <t>CSULA-content-manager_eop</t>
        </is>
      </c>
      <c r="H32" t="n">
        <v>1</v>
      </c>
      <c r="I32" t="n">
        <v>4</v>
      </c>
      <c r="J32" t="inlineStr">
        <is>
          <t>No</t>
        </is>
      </c>
      <c r="K32" t="n">
        <v>1</v>
      </c>
      <c r="L32" t="inlineStr">
        <is>
          <t>No</t>
        </is>
      </c>
      <c r="M32" t="inlineStr">
        <is>
          <t>Yes</t>
        </is>
      </c>
      <c r="N32" t="n">
        <v>1</v>
      </c>
      <c r="O32" t="inlineStr">
        <is>
          <t>No</t>
        </is>
      </c>
      <c r="P32" t="n">
        <v>0</v>
      </c>
      <c r="R32" t="n">
        <v>0</v>
      </c>
      <c r="S32" t="n">
        <v>0</v>
      </c>
      <c r="T32" t="n">
        <v>4</v>
      </c>
      <c r="U32" t="inlineStr">
        <is>
          <t>Yes</t>
        </is>
      </c>
      <c r="V32" t="inlineStr">
        <is>
          <t>No</t>
        </is>
      </c>
    </row>
    <row r="33">
      <c r="A33" t="inlineStr">
        <is>
          <t>2026 Campus Safety Plan</t>
        </is>
      </c>
      <c r="B33" s="1">
        <f>HYPERLINK("https://www.calstatela.edu/sites/default/files/2026%20Campus%20Safety%20Plan.pdf", "https://www.calstatela.edu/sites/default/files/2026%20Campus%20Safety%20Plan.pdf")</f>
        <v/>
      </c>
      <c r="C33" s="1">
        <f>HYPERLINK("https://www.calstatela.edu/eop/open-house-kick-eop-history-month", "https://www.calstatela.edu/eop/open-house-kick-eop-history-month")</f>
        <v/>
      </c>
      <c r="D33" t="inlineStr">
        <is>
          <t>2026-02-03 19:42:26</t>
        </is>
      </c>
      <c r="E33" t="inlineStr">
        <is>
          <t>69529a</t>
        </is>
      </c>
      <c r="F33" t="inlineStr">
        <is>
          <t>calstatela.edu_eop</t>
        </is>
      </c>
      <c r="G33" t="inlineStr">
        <is>
          <t>CSULA-content-manager_eop</t>
        </is>
      </c>
      <c r="H33" t="n">
        <v>1</v>
      </c>
      <c r="I33" t="n">
        <v>2</v>
      </c>
      <c r="J33" t="inlineStr">
        <is>
          <t>No</t>
        </is>
      </c>
      <c r="K33" t="n">
        <v>1</v>
      </c>
      <c r="L33" t="inlineStr">
        <is>
          <t>No</t>
        </is>
      </c>
      <c r="M33" t="inlineStr">
        <is>
          <t>Yes</t>
        </is>
      </c>
      <c r="N33" t="n">
        <v>1</v>
      </c>
      <c r="O33" t="inlineStr">
        <is>
          <t>No</t>
        </is>
      </c>
      <c r="P33" t="n">
        <v>0</v>
      </c>
      <c r="R33" t="n">
        <v>0</v>
      </c>
      <c r="S33" t="n">
        <v>0</v>
      </c>
      <c r="T33" t="n">
        <v>2</v>
      </c>
      <c r="U33" t="inlineStr">
        <is>
          <t>Yes</t>
        </is>
      </c>
      <c r="V33" t="inlineStr">
        <is>
          <t>No</t>
        </is>
      </c>
    </row>
    <row r="34">
      <c r="A34" t="inlineStr">
        <is>
          <t>2025 Annual Security Report</t>
        </is>
      </c>
      <c r="B34" s="1">
        <f>HYPERLINK("https://www.calstatela.edu/sites/default/files/2025%20Annual%20Security%20Report.pdf", "https://www.calstatela.edu/sites/default/files/2025%20Annual%20Security%20Report.pdf")</f>
        <v/>
      </c>
      <c r="C34" s="1">
        <f>HYPERLINK("https://www.calstatela.edu/eop/fall-enrichment-activity-attendance-form", "https://www.calstatela.edu/eop/fall-enrichment-activity-attendance-form")</f>
        <v/>
      </c>
      <c r="D34" t="inlineStr">
        <is>
          <t>2026-02-03 19:42:26</t>
        </is>
      </c>
      <c r="E34" t="inlineStr">
        <is>
          <t>d35aba</t>
        </is>
      </c>
      <c r="F34" t="inlineStr">
        <is>
          <t>calstatela.edu_eop</t>
        </is>
      </c>
      <c r="G34" t="inlineStr">
        <is>
          <t>CSULA-content-manager_eop</t>
        </is>
      </c>
      <c r="H34" t="n">
        <v>1</v>
      </c>
      <c r="I34" t="n">
        <v>4</v>
      </c>
      <c r="J34" t="inlineStr">
        <is>
          <t>No</t>
        </is>
      </c>
      <c r="K34" t="n">
        <v>1</v>
      </c>
      <c r="L34" t="inlineStr">
        <is>
          <t>No</t>
        </is>
      </c>
      <c r="M34" t="inlineStr">
        <is>
          <t>Yes</t>
        </is>
      </c>
      <c r="N34" t="n">
        <v>1</v>
      </c>
      <c r="O34" t="inlineStr">
        <is>
          <t>No</t>
        </is>
      </c>
      <c r="P34" t="n">
        <v>0</v>
      </c>
      <c r="R34" t="n">
        <v>0</v>
      </c>
      <c r="S34" t="n">
        <v>0</v>
      </c>
      <c r="T34" t="n">
        <v>4</v>
      </c>
      <c r="U34" t="inlineStr">
        <is>
          <t>Yes</t>
        </is>
      </c>
      <c r="V34" t="inlineStr">
        <is>
          <t>No</t>
        </is>
      </c>
    </row>
    <row r="35">
      <c r="A35" t="inlineStr">
        <is>
          <t>2026 Campus Safety Plan</t>
        </is>
      </c>
      <c r="B35" s="1">
        <f>HYPERLINK("https://www.calstatela.edu/sites/default/files/2026%20Campus%20Safety%20Plan.pdf", "https://www.calstatela.edu/sites/default/files/2026%20Campus%20Safety%20Plan.pdf")</f>
        <v/>
      </c>
      <c r="C35" s="1">
        <f>HYPERLINK("https://www.calstatela.edu/eop/fall-enrichment-activity-attendance-form", "https://www.calstatela.edu/eop/fall-enrichment-activity-attendance-form")</f>
        <v/>
      </c>
      <c r="D35" t="inlineStr">
        <is>
          <t>2026-02-03 19:42:26</t>
        </is>
      </c>
      <c r="E35" t="inlineStr">
        <is>
          <t>69529a</t>
        </is>
      </c>
      <c r="F35" t="inlineStr">
        <is>
          <t>calstatela.edu_eop</t>
        </is>
      </c>
      <c r="G35" t="inlineStr">
        <is>
          <t>CSULA-content-manager_eop</t>
        </is>
      </c>
      <c r="H35" t="n">
        <v>1</v>
      </c>
      <c r="I35" t="n">
        <v>2</v>
      </c>
      <c r="J35" t="inlineStr">
        <is>
          <t>No</t>
        </is>
      </c>
      <c r="K35" t="n">
        <v>1</v>
      </c>
      <c r="L35" t="inlineStr">
        <is>
          <t>No</t>
        </is>
      </c>
      <c r="M35" t="inlineStr">
        <is>
          <t>Yes</t>
        </is>
      </c>
      <c r="N35" t="n">
        <v>1</v>
      </c>
      <c r="O35" t="inlineStr">
        <is>
          <t>No</t>
        </is>
      </c>
      <c r="P35" t="n">
        <v>0</v>
      </c>
      <c r="R35" t="n">
        <v>0</v>
      </c>
      <c r="S35" t="n">
        <v>0</v>
      </c>
      <c r="T35" t="n">
        <v>2</v>
      </c>
      <c r="U35" t="inlineStr">
        <is>
          <t>Yes</t>
        </is>
      </c>
      <c r="V35" t="inlineStr">
        <is>
          <t>No</t>
        </is>
      </c>
    </row>
    <row r="36">
      <c r="A36" t="inlineStr">
        <is>
          <t>2025 Annual Security Report</t>
        </is>
      </c>
      <c r="B36" s="1">
        <f>HYPERLINK("https://www.calstatela.edu/sites/default/files/2025%20Annual%20Security%20Report.pdf", "https://www.calstatela.edu/sites/default/files/2025%20Annual%20Security%20Report.pdf")</f>
        <v/>
      </c>
      <c r="C36" s="1">
        <f>HYPERLINK("https://www.calstatela.edu/eop/eop-calfresh-certification", "https://www.calstatela.edu/eop/eop-calfresh-certification")</f>
        <v/>
      </c>
      <c r="D36" t="inlineStr">
        <is>
          <t>2026-02-03 19:42:26</t>
        </is>
      </c>
      <c r="E36" t="inlineStr">
        <is>
          <t>d35aba</t>
        </is>
      </c>
      <c r="F36" t="inlineStr">
        <is>
          <t>calstatela.edu_eop</t>
        </is>
      </c>
      <c r="G36" t="inlineStr">
        <is>
          <t>CSULA-content-manager_eop</t>
        </is>
      </c>
      <c r="H36" t="n">
        <v>1</v>
      </c>
      <c r="I36" t="n">
        <v>4</v>
      </c>
      <c r="J36" t="inlineStr">
        <is>
          <t>No</t>
        </is>
      </c>
      <c r="K36" t="n">
        <v>1</v>
      </c>
      <c r="L36" t="inlineStr">
        <is>
          <t>No</t>
        </is>
      </c>
      <c r="M36" t="inlineStr">
        <is>
          <t>Yes</t>
        </is>
      </c>
      <c r="N36" t="n">
        <v>1</v>
      </c>
      <c r="O36" t="inlineStr">
        <is>
          <t>No</t>
        </is>
      </c>
      <c r="P36" t="n">
        <v>0</v>
      </c>
      <c r="R36" t="n">
        <v>0</v>
      </c>
      <c r="S36" t="n">
        <v>0</v>
      </c>
      <c r="T36" t="n">
        <v>4</v>
      </c>
      <c r="U36" t="inlineStr">
        <is>
          <t>Yes</t>
        </is>
      </c>
      <c r="V36" t="inlineStr">
        <is>
          <t>No</t>
        </is>
      </c>
    </row>
    <row r="37">
      <c r="A37" t="inlineStr">
        <is>
          <t>2026 Campus Safety Plan</t>
        </is>
      </c>
      <c r="B37" s="1">
        <f>HYPERLINK("https://www.calstatela.edu/sites/default/files/2026%20Campus%20Safety%20Plan.pdf", "https://www.calstatela.edu/sites/default/files/2026%20Campus%20Safety%20Plan.pdf")</f>
        <v/>
      </c>
      <c r="C37" s="1">
        <f>HYPERLINK("https://www.calstatela.edu/eop/eop-calfresh-certification", "https://www.calstatela.edu/eop/eop-calfresh-certification")</f>
        <v/>
      </c>
      <c r="D37" t="inlineStr">
        <is>
          <t>2026-02-03 19:42:26</t>
        </is>
      </c>
      <c r="E37" t="inlineStr">
        <is>
          <t>69529a</t>
        </is>
      </c>
      <c r="F37" t="inlineStr">
        <is>
          <t>calstatela.edu_eop</t>
        </is>
      </c>
      <c r="G37" t="inlineStr">
        <is>
          <t>CSULA-content-manager_eop</t>
        </is>
      </c>
      <c r="H37" t="n">
        <v>1</v>
      </c>
      <c r="I37" t="n">
        <v>2</v>
      </c>
      <c r="J37" t="inlineStr">
        <is>
          <t>No</t>
        </is>
      </c>
      <c r="K37" t="n">
        <v>1</v>
      </c>
      <c r="L37" t="inlineStr">
        <is>
          <t>No</t>
        </is>
      </c>
      <c r="M37" t="inlineStr">
        <is>
          <t>Yes</t>
        </is>
      </c>
      <c r="N37" t="n">
        <v>1</v>
      </c>
      <c r="O37" t="inlineStr">
        <is>
          <t>No</t>
        </is>
      </c>
      <c r="P37" t="n">
        <v>0</v>
      </c>
      <c r="R37" t="n">
        <v>0</v>
      </c>
      <c r="S37" t="n">
        <v>0</v>
      </c>
      <c r="T37" t="n">
        <v>2</v>
      </c>
      <c r="U37" t="inlineStr">
        <is>
          <t>Yes</t>
        </is>
      </c>
      <c r="V37" t="inlineStr">
        <is>
          <t>No</t>
        </is>
      </c>
    </row>
    <row r="38">
      <c r="A38" t="inlineStr">
        <is>
          <t>2025 Annual Security Report</t>
        </is>
      </c>
      <c r="B38" s="1">
        <f>HYPERLINK("https://www.calstatela.edu/sites/default/files/2025%20Annual%20Security%20Report.pdf", "https://www.calstatela.edu/sites/default/files/2025%20Annual%20Security%20Report.pdf")</f>
        <v/>
      </c>
      <c r="C38" s="1">
        <f>HYPERLINK("https://www.calstatela.edu/eop/drop-peer-advising", "https://www.calstatela.edu/eop/drop-peer-advising")</f>
        <v/>
      </c>
      <c r="D38" t="inlineStr">
        <is>
          <t>2026-02-03 19:42:26</t>
        </is>
      </c>
      <c r="E38" t="inlineStr">
        <is>
          <t>d35aba</t>
        </is>
      </c>
      <c r="F38" t="inlineStr">
        <is>
          <t>calstatela.edu_eop</t>
        </is>
      </c>
      <c r="G38" t="inlineStr">
        <is>
          <t>CSULA-content-manager_eop</t>
        </is>
      </c>
      <c r="H38" t="n">
        <v>1</v>
      </c>
      <c r="I38" t="n">
        <v>4</v>
      </c>
      <c r="J38" t="inlineStr">
        <is>
          <t>No</t>
        </is>
      </c>
      <c r="K38" t="n">
        <v>1</v>
      </c>
      <c r="L38" t="inlineStr">
        <is>
          <t>No</t>
        </is>
      </c>
      <c r="M38" t="inlineStr">
        <is>
          <t>Yes</t>
        </is>
      </c>
      <c r="N38" t="n">
        <v>1</v>
      </c>
      <c r="O38" t="inlineStr">
        <is>
          <t>No</t>
        </is>
      </c>
      <c r="P38" t="n">
        <v>0</v>
      </c>
      <c r="R38" t="n">
        <v>0</v>
      </c>
      <c r="S38" t="n">
        <v>0</v>
      </c>
      <c r="T38" t="n">
        <v>4</v>
      </c>
      <c r="U38" t="inlineStr">
        <is>
          <t>Yes</t>
        </is>
      </c>
      <c r="V38" t="inlineStr">
        <is>
          <t>No</t>
        </is>
      </c>
    </row>
    <row r="39">
      <c r="A39" t="inlineStr">
        <is>
          <t>2026 Campus Safety Plan</t>
        </is>
      </c>
      <c r="B39" s="1">
        <f>HYPERLINK("https://www.calstatela.edu/sites/default/files/2026%20Campus%20Safety%20Plan.pdf", "https://www.calstatela.edu/sites/default/files/2026%20Campus%20Safety%20Plan.pdf")</f>
        <v/>
      </c>
      <c r="C39" s="1">
        <f>HYPERLINK("https://www.calstatela.edu/eop/drop-peer-advising", "https://www.calstatela.edu/eop/drop-peer-advising")</f>
        <v/>
      </c>
      <c r="D39" t="inlineStr">
        <is>
          <t>2026-02-03 19:42:26</t>
        </is>
      </c>
      <c r="E39" t="inlineStr">
        <is>
          <t>69529a</t>
        </is>
      </c>
      <c r="F39" t="inlineStr">
        <is>
          <t>calstatela.edu_eop</t>
        </is>
      </c>
      <c r="G39" t="inlineStr">
        <is>
          <t>CSULA-content-manager_eop</t>
        </is>
      </c>
      <c r="H39" t="n">
        <v>1</v>
      </c>
      <c r="I39" t="n">
        <v>2</v>
      </c>
      <c r="J39" t="inlineStr">
        <is>
          <t>No</t>
        </is>
      </c>
      <c r="K39" t="n">
        <v>1</v>
      </c>
      <c r="L39" t="inlineStr">
        <is>
          <t>No</t>
        </is>
      </c>
      <c r="M39" t="inlineStr">
        <is>
          <t>Yes</t>
        </is>
      </c>
      <c r="N39" t="n">
        <v>1</v>
      </c>
      <c r="O39" t="inlineStr">
        <is>
          <t>No</t>
        </is>
      </c>
      <c r="P39" t="n">
        <v>0</v>
      </c>
      <c r="R39" t="n">
        <v>0</v>
      </c>
      <c r="S39" t="n">
        <v>0</v>
      </c>
      <c r="T39" t="n">
        <v>2</v>
      </c>
      <c r="U39" t="inlineStr">
        <is>
          <t>Yes</t>
        </is>
      </c>
      <c r="V39" t="inlineStr">
        <is>
          <t>No</t>
        </is>
      </c>
    </row>
    <row r="40">
      <c r="A40" t="inlineStr">
        <is>
          <t>2025 Annual Security Report</t>
        </is>
      </c>
      <c r="B40" s="1">
        <f>HYPERLINK("https://www.calstatela.edu/sites/default/files/2025%20Annual%20Security%20Report.pdf", "https://www.calstatela.edu/sites/default/files/2025%20Annual%20Security%20Report.pdf")</f>
        <v/>
      </c>
      <c r="C40" s="1">
        <f>HYPERLINK("https://www.calstatela.edu/eop/spring-enrichment-activity-attendance-form", "https://www.calstatela.edu/eop/spring-enrichment-activity-attendance-form")</f>
        <v/>
      </c>
      <c r="D40" t="inlineStr">
        <is>
          <t>2026-02-03 19:42:26</t>
        </is>
      </c>
      <c r="E40" t="inlineStr">
        <is>
          <t>d35aba</t>
        </is>
      </c>
      <c r="F40" t="inlineStr">
        <is>
          <t>calstatela.edu_eop</t>
        </is>
      </c>
      <c r="G40" t="inlineStr">
        <is>
          <t>CSULA-content-manager_eop</t>
        </is>
      </c>
      <c r="H40" t="n">
        <v>1</v>
      </c>
      <c r="I40" t="n">
        <v>4</v>
      </c>
      <c r="J40" t="inlineStr">
        <is>
          <t>No</t>
        </is>
      </c>
      <c r="K40" t="n">
        <v>1</v>
      </c>
      <c r="L40" t="inlineStr">
        <is>
          <t>No</t>
        </is>
      </c>
      <c r="M40" t="inlineStr">
        <is>
          <t>Yes</t>
        </is>
      </c>
      <c r="N40" t="n">
        <v>1</v>
      </c>
      <c r="O40" t="inlineStr">
        <is>
          <t>No</t>
        </is>
      </c>
      <c r="P40" t="n">
        <v>0</v>
      </c>
      <c r="R40" t="n">
        <v>0</v>
      </c>
      <c r="S40" t="n">
        <v>0</v>
      </c>
      <c r="T40" t="n">
        <v>4</v>
      </c>
      <c r="U40" t="inlineStr">
        <is>
          <t>Yes</t>
        </is>
      </c>
      <c r="V40" t="inlineStr">
        <is>
          <t>No</t>
        </is>
      </c>
    </row>
    <row r="41">
      <c r="A41" t="inlineStr">
        <is>
          <t>2026 Campus Safety Plan</t>
        </is>
      </c>
      <c r="B41" s="1">
        <f>HYPERLINK("https://www.calstatela.edu/sites/default/files/2026%20Campus%20Safety%20Plan.pdf", "https://www.calstatela.edu/sites/default/files/2026%20Campus%20Safety%20Plan.pdf")</f>
        <v/>
      </c>
      <c r="C41" s="1">
        <f>HYPERLINK("https://www.calstatela.edu/eop/spring-enrichment-activity-attendance-form", "https://www.calstatela.edu/eop/spring-enrichment-activity-attendance-form")</f>
        <v/>
      </c>
      <c r="D41" t="inlineStr">
        <is>
          <t>2026-02-03 19:42:26</t>
        </is>
      </c>
      <c r="E41" t="inlineStr">
        <is>
          <t>69529a</t>
        </is>
      </c>
      <c r="F41" t="inlineStr">
        <is>
          <t>calstatela.edu_eop</t>
        </is>
      </c>
      <c r="G41" t="inlineStr">
        <is>
          <t>CSULA-content-manager_eop</t>
        </is>
      </c>
      <c r="H41" t="n">
        <v>1</v>
      </c>
      <c r="I41" t="n">
        <v>2</v>
      </c>
      <c r="J41" t="inlineStr">
        <is>
          <t>No</t>
        </is>
      </c>
      <c r="K41" t="n">
        <v>1</v>
      </c>
      <c r="L41" t="inlineStr">
        <is>
          <t>No</t>
        </is>
      </c>
      <c r="M41" t="inlineStr">
        <is>
          <t>Yes</t>
        </is>
      </c>
      <c r="N41" t="n">
        <v>1</v>
      </c>
      <c r="O41" t="inlineStr">
        <is>
          <t>No</t>
        </is>
      </c>
      <c r="P41" t="n">
        <v>0</v>
      </c>
      <c r="R41" t="n">
        <v>0</v>
      </c>
      <c r="S41" t="n">
        <v>0</v>
      </c>
      <c r="T41" t="n">
        <v>2</v>
      </c>
      <c r="U41" t="inlineStr">
        <is>
          <t>Yes</t>
        </is>
      </c>
      <c r="V41" t="inlineStr">
        <is>
          <t>No</t>
        </is>
      </c>
    </row>
    <row r="42">
      <c r="A42" t="inlineStr">
        <is>
          <t>2025 Annual Security Report</t>
        </is>
      </c>
      <c r="B42" s="1">
        <f>HYPERLINK("https://www.calstatela.edu/sites/default/files/2025%20Annual%20Security%20Report.pdf", "https://www.calstatela.edu/sites/default/files/2025%20Annual%20Security%20Report.pdf")</f>
        <v/>
      </c>
      <c r="C42" s="1">
        <f>HYPERLINK("https://www.calstatela.edu/eop/important-dates-and-deadlines", "https://www.calstatela.edu/eop/important-dates-and-deadlines")</f>
        <v/>
      </c>
      <c r="D42" t="inlineStr">
        <is>
          <t>2026-02-03 19:42:26</t>
        </is>
      </c>
      <c r="E42" t="inlineStr">
        <is>
          <t>d35aba</t>
        </is>
      </c>
      <c r="F42" t="inlineStr">
        <is>
          <t>calstatela.edu_eop</t>
        </is>
      </c>
      <c r="G42" t="inlineStr">
        <is>
          <t>CSULA-content-manager_eop</t>
        </is>
      </c>
      <c r="H42" t="n">
        <v>1</v>
      </c>
      <c r="I42" t="n">
        <v>4</v>
      </c>
      <c r="J42" t="inlineStr">
        <is>
          <t>No</t>
        </is>
      </c>
      <c r="K42" t="n">
        <v>1</v>
      </c>
      <c r="L42" t="inlineStr">
        <is>
          <t>No</t>
        </is>
      </c>
      <c r="M42" t="inlineStr">
        <is>
          <t>Yes</t>
        </is>
      </c>
      <c r="N42" t="n">
        <v>1</v>
      </c>
      <c r="O42" t="inlineStr">
        <is>
          <t>No</t>
        </is>
      </c>
      <c r="P42" t="n">
        <v>0</v>
      </c>
      <c r="R42" t="n">
        <v>0</v>
      </c>
      <c r="S42" t="n">
        <v>0</v>
      </c>
      <c r="T42" t="n">
        <v>4</v>
      </c>
      <c r="U42" t="inlineStr">
        <is>
          <t>Yes</t>
        </is>
      </c>
      <c r="V42" t="inlineStr">
        <is>
          <t>No</t>
        </is>
      </c>
    </row>
    <row r="43">
      <c r="A43" t="inlineStr">
        <is>
          <t>2026 Campus Safety Plan</t>
        </is>
      </c>
      <c r="B43" s="1">
        <f>HYPERLINK("https://www.calstatela.edu/sites/default/files/2026%20Campus%20Safety%20Plan.pdf", "https://www.calstatela.edu/sites/default/files/2026%20Campus%20Safety%20Plan.pdf")</f>
        <v/>
      </c>
      <c r="C43" s="1">
        <f>HYPERLINK("https://www.calstatela.edu/eop/important-dates-and-deadlines", "https://www.calstatela.edu/eop/important-dates-and-deadlines")</f>
        <v/>
      </c>
      <c r="D43" t="inlineStr">
        <is>
          <t>2026-02-03 19:42:26</t>
        </is>
      </c>
      <c r="E43" t="inlineStr">
        <is>
          <t>69529a</t>
        </is>
      </c>
      <c r="F43" t="inlineStr">
        <is>
          <t>calstatela.edu_eop</t>
        </is>
      </c>
      <c r="G43" t="inlineStr">
        <is>
          <t>CSULA-content-manager_eop</t>
        </is>
      </c>
      <c r="H43" t="n">
        <v>1</v>
      </c>
      <c r="I43" t="n">
        <v>2</v>
      </c>
      <c r="J43" t="inlineStr">
        <is>
          <t>No</t>
        </is>
      </c>
      <c r="K43" t="n">
        <v>1</v>
      </c>
      <c r="L43" t="inlineStr">
        <is>
          <t>No</t>
        </is>
      </c>
      <c r="M43" t="inlineStr">
        <is>
          <t>Yes</t>
        </is>
      </c>
      <c r="N43" t="n">
        <v>1</v>
      </c>
      <c r="O43" t="inlineStr">
        <is>
          <t>No</t>
        </is>
      </c>
      <c r="P43" t="n">
        <v>0</v>
      </c>
      <c r="R43" t="n">
        <v>0</v>
      </c>
      <c r="S43" t="n">
        <v>0</v>
      </c>
      <c r="T43" t="n">
        <v>2</v>
      </c>
      <c r="U43" t="inlineStr">
        <is>
          <t>Yes</t>
        </is>
      </c>
      <c r="V43" t="inlineStr">
        <is>
          <t>No</t>
        </is>
      </c>
    </row>
    <row r="44">
      <c r="A44" t="inlineStr">
        <is>
          <t>2025 Annual Security Report</t>
        </is>
      </c>
      <c r="B44" s="1">
        <f>HYPERLINK("https://www.calstatela.edu/sites/default/files/2025%20Annual%20Security%20Report.pdf", "https://www.calstatela.edu/sites/default/files/2025%20Annual%20Security%20Report.pdf")</f>
        <v/>
      </c>
      <c r="C44" s="1">
        <f>HYPERLINK("https://www.calstatela.edu/eop/important-dates-summer-bridge", "https://www.calstatela.edu/eop/important-dates-summer-bridge")</f>
        <v/>
      </c>
      <c r="D44" t="inlineStr">
        <is>
          <t>2026-02-03 19:42:26</t>
        </is>
      </c>
      <c r="E44" t="inlineStr">
        <is>
          <t>d35aba</t>
        </is>
      </c>
      <c r="F44" t="inlineStr">
        <is>
          <t>calstatela.edu_eop</t>
        </is>
      </c>
      <c r="G44" t="inlineStr">
        <is>
          <t>CSULA-content-manager_eop</t>
        </is>
      </c>
      <c r="H44" t="n">
        <v>1</v>
      </c>
      <c r="I44" t="n">
        <v>4</v>
      </c>
      <c r="J44" t="inlineStr">
        <is>
          <t>No</t>
        </is>
      </c>
      <c r="K44" t="n">
        <v>1</v>
      </c>
      <c r="L44" t="inlineStr">
        <is>
          <t>No</t>
        </is>
      </c>
      <c r="M44" t="inlineStr">
        <is>
          <t>Yes</t>
        </is>
      </c>
      <c r="N44" t="n">
        <v>1</v>
      </c>
      <c r="O44" t="inlineStr">
        <is>
          <t>No</t>
        </is>
      </c>
      <c r="P44" t="n">
        <v>0</v>
      </c>
      <c r="R44" t="n">
        <v>0</v>
      </c>
      <c r="S44" t="n">
        <v>0</v>
      </c>
      <c r="T44" t="n">
        <v>4</v>
      </c>
      <c r="U44" t="inlineStr">
        <is>
          <t>Yes</t>
        </is>
      </c>
      <c r="V44" t="inlineStr">
        <is>
          <t>No</t>
        </is>
      </c>
    </row>
    <row r="45">
      <c r="A45" t="inlineStr">
        <is>
          <t>2026 Campus Safety Plan</t>
        </is>
      </c>
      <c r="B45" s="1">
        <f>HYPERLINK("https://www.calstatela.edu/sites/default/files/2026%20Campus%20Safety%20Plan.pdf", "https://www.calstatela.edu/sites/default/files/2026%20Campus%20Safety%20Plan.pdf")</f>
        <v/>
      </c>
      <c r="C45" s="1">
        <f>HYPERLINK("https://www.calstatela.edu/eop/important-dates-summer-bridge", "https://www.calstatela.edu/eop/important-dates-summer-bridge")</f>
        <v/>
      </c>
      <c r="D45" t="inlineStr">
        <is>
          <t>2026-02-03 19:42:26</t>
        </is>
      </c>
      <c r="E45" t="inlineStr">
        <is>
          <t>69529a</t>
        </is>
      </c>
      <c r="F45" t="inlineStr">
        <is>
          <t>calstatela.edu_eop</t>
        </is>
      </c>
      <c r="G45" t="inlineStr">
        <is>
          <t>CSULA-content-manager_eop</t>
        </is>
      </c>
      <c r="H45" t="n">
        <v>1</v>
      </c>
      <c r="I45" t="n">
        <v>2</v>
      </c>
      <c r="J45" t="inlineStr">
        <is>
          <t>No</t>
        </is>
      </c>
      <c r="K45" t="n">
        <v>1</v>
      </c>
      <c r="L45" t="inlineStr">
        <is>
          <t>No</t>
        </is>
      </c>
      <c r="M45" t="inlineStr">
        <is>
          <t>Yes</t>
        </is>
      </c>
      <c r="N45" t="n">
        <v>1</v>
      </c>
      <c r="O45" t="inlineStr">
        <is>
          <t>No</t>
        </is>
      </c>
      <c r="P45" t="n">
        <v>0</v>
      </c>
      <c r="R45" t="n">
        <v>0</v>
      </c>
      <c r="S45" t="n">
        <v>0</v>
      </c>
      <c r="T45" t="n">
        <v>2</v>
      </c>
      <c r="U45" t="inlineStr">
        <is>
          <t>Yes</t>
        </is>
      </c>
      <c r="V45" t="inlineStr">
        <is>
          <t>No</t>
        </is>
      </c>
    </row>
    <row r="46">
      <c r="A46" t="inlineStr">
        <is>
          <t>2025 Annual Security Report</t>
        </is>
      </c>
      <c r="B46" s="1">
        <f>HYPERLINK("https://www.calstatela.edu/sites/default/files/2025%20Annual%20Security%20Report.pdf", "https://www.calstatela.edu/sites/default/files/2025%20Annual%20Security%20Report.pdf")</f>
        <v/>
      </c>
      <c r="C46" s="1">
        <f>HYPERLINK("https://www.calstatela.edu/eop/eop-income-guidelines", "https://www.calstatela.edu/eop/eop-income-guidelines")</f>
        <v/>
      </c>
      <c r="D46" t="inlineStr">
        <is>
          <t>2026-02-03 19:42:26</t>
        </is>
      </c>
      <c r="E46" t="inlineStr">
        <is>
          <t>d35aba</t>
        </is>
      </c>
      <c r="F46" t="inlineStr">
        <is>
          <t>calstatela.edu_eop</t>
        </is>
      </c>
      <c r="G46" t="inlineStr">
        <is>
          <t>CSULA-content-manager_eop</t>
        </is>
      </c>
      <c r="H46" t="n">
        <v>1</v>
      </c>
      <c r="I46" t="n">
        <v>4</v>
      </c>
      <c r="J46" t="inlineStr">
        <is>
          <t>No</t>
        </is>
      </c>
      <c r="K46" t="n">
        <v>1</v>
      </c>
      <c r="L46" t="inlineStr">
        <is>
          <t>No</t>
        </is>
      </c>
      <c r="M46" t="inlineStr">
        <is>
          <t>Yes</t>
        </is>
      </c>
      <c r="N46" t="n">
        <v>1</v>
      </c>
      <c r="O46" t="inlineStr">
        <is>
          <t>No</t>
        </is>
      </c>
      <c r="P46" t="n">
        <v>0</v>
      </c>
      <c r="R46" t="n">
        <v>0</v>
      </c>
      <c r="S46" t="n">
        <v>0</v>
      </c>
      <c r="T46" t="n">
        <v>4</v>
      </c>
      <c r="U46" t="inlineStr">
        <is>
          <t>Yes</t>
        </is>
      </c>
      <c r="V46" t="inlineStr">
        <is>
          <t>No</t>
        </is>
      </c>
    </row>
    <row r="47">
      <c r="A47" t="inlineStr">
        <is>
          <t>2026 Campus Safety Plan</t>
        </is>
      </c>
      <c r="B47" s="1">
        <f>HYPERLINK("https://www.calstatela.edu/sites/default/files/2026%20Campus%20Safety%20Plan.pdf", "https://www.calstatela.edu/sites/default/files/2026%20Campus%20Safety%20Plan.pdf")</f>
        <v/>
      </c>
      <c r="C47" s="1">
        <f>HYPERLINK("https://www.calstatela.edu/eop/eop-income-guidelines", "https://www.calstatela.edu/eop/eop-income-guidelines")</f>
        <v/>
      </c>
      <c r="D47" t="inlineStr">
        <is>
          <t>2026-02-03 19:42:26</t>
        </is>
      </c>
      <c r="E47" t="inlineStr">
        <is>
          <t>69529a</t>
        </is>
      </c>
      <c r="F47" t="inlineStr">
        <is>
          <t>calstatela.edu_eop</t>
        </is>
      </c>
      <c r="G47" t="inlineStr">
        <is>
          <t>CSULA-content-manager_eop</t>
        </is>
      </c>
      <c r="H47" t="n">
        <v>1</v>
      </c>
      <c r="I47" t="n">
        <v>2</v>
      </c>
      <c r="J47" t="inlineStr">
        <is>
          <t>No</t>
        </is>
      </c>
      <c r="K47" t="n">
        <v>1</v>
      </c>
      <c r="L47" t="inlineStr">
        <is>
          <t>No</t>
        </is>
      </c>
      <c r="M47" t="inlineStr">
        <is>
          <t>Yes</t>
        </is>
      </c>
      <c r="N47" t="n">
        <v>1</v>
      </c>
      <c r="O47" t="inlineStr">
        <is>
          <t>No</t>
        </is>
      </c>
      <c r="P47" t="n">
        <v>0</v>
      </c>
      <c r="R47" t="n">
        <v>0</v>
      </c>
      <c r="S47" t="n">
        <v>0</v>
      </c>
      <c r="T47" t="n">
        <v>2</v>
      </c>
      <c r="U47" t="inlineStr">
        <is>
          <t>Yes</t>
        </is>
      </c>
      <c r="V47" t="inlineStr">
        <is>
          <t>No</t>
        </is>
      </c>
    </row>
    <row r="48">
      <c r="A48" t="inlineStr">
        <is>
          <t>2025 Annual Security Report</t>
        </is>
      </c>
      <c r="B48" s="1">
        <f>HYPERLINK("https://www.calstatela.edu/sites/default/files/2025%20Annual%20Security%20Report.pdf", "https://www.calstatela.edu/sites/default/files/2025%20Annual%20Security%20Report.pdf")</f>
        <v/>
      </c>
      <c r="C48" s="1">
        <f>HYPERLINK("https://www.calstatela.edu/eop/how-register-classes", "https://www.calstatela.edu/eop/how-register-classes")</f>
        <v/>
      </c>
      <c r="D48" t="inlineStr">
        <is>
          <t>2026-02-03 19:42:26</t>
        </is>
      </c>
      <c r="E48" t="inlineStr">
        <is>
          <t>d35aba</t>
        </is>
      </c>
      <c r="F48" t="inlineStr">
        <is>
          <t>calstatela.edu_eop</t>
        </is>
      </c>
      <c r="G48" t="inlineStr">
        <is>
          <t>CSULA-content-manager_eop</t>
        </is>
      </c>
      <c r="H48" t="n">
        <v>1</v>
      </c>
      <c r="I48" t="n">
        <v>4</v>
      </c>
      <c r="J48" t="inlineStr">
        <is>
          <t>No</t>
        </is>
      </c>
      <c r="K48" t="n">
        <v>1</v>
      </c>
      <c r="L48" t="inlineStr">
        <is>
          <t>No</t>
        </is>
      </c>
      <c r="M48" t="inlineStr">
        <is>
          <t>Yes</t>
        </is>
      </c>
      <c r="N48" t="n">
        <v>1</v>
      </c>
      <c r="O48" t="inlineStr">
        <is>
          <t>No</t>
        </is>
      </c>
      <c r="P48" t="n">
        <v>0</v>
      </c>
      <c r="R48" t="n">
        <v>0</v>
      </c>
      <c r="S48" t="n">
        <v>0</v>
      </c>
      <c r="T48" t="n">
        <v>4</v>
      </c>
      <c r="U48" t="inlineStr">
        <is>
          <t>Yes</t>
        </is>
      </c>
      <c r="V48" t="inlineStr">
        <is>
          <t>No</t>
        </is>
      </c>
    </row>
    <row r="49">
      <c r="A49" t="inlineStr">
        <is>
          <t>2026 Campus Safety Plan</t>
        </is>
      </c>
      <c r="B49" s="1">
        <f>HYPERLINK("https://www.calstatela.edu/sites/default/files/2026%20Campus%20Safety%20Plan.pdf", "https://www.calstatela.edu/sites/default/files/2026%20Campus%20Safety%20Plan.pdf")</f>
        <v/>
      </c>
      <c r="C49" s="1">
        <f>HYPERLINK("https://www.calstatela.edu/eop/how-register-classes", "https://www.calstatela.edu/eop/how-register-classes")</f>
        <v/>
      </c>
      <c r="D49" t="inlineStr">
        <is>
          <t>2026-02-03 19:42:26</t>
        </is>
      </c>
      <c r="E49" t="inlineStr">
        <is>
          <t>69529a</t>
        </is>
      </c>
      <c r="F49" t="inlineStr">
        <is>
          <t>calstatela.edu_eop</t>
        </is>
      </c>
      <c r="G49" t="inlineStr">
        <is>
          <t>CSULA-content-manager_eop</t>
        </is>
      </c>
      <c r="H49" t="n">
        <v>1</v>
      </c>
      <c r="I49" t="n">
        <v>2</v>
      </c>
      <c r="J49" t="inlineStr">
        <is>
          <t>No</t>
        </is>
      </c>
      <c r="K49" t="n">
        <v>1</v>
      </c>
      <c r="L49" t="inlineStr">
        <is>
          <t>No</t>
        </is>
      </c>
      <c r="M49" t="inlineStr">
        <is>
          <t>Yes</t>
        </is>
      </c>
      <c r="N49" t="n">
        <v>1</v>
      </c>
      <c r="O49" t="inlineStr">
        <is>
          <t>No</t>
        </is>
      </c>
      <c r="P49" t="n">
        <v>0</v>
      </c>
      <c r="R49" t="n">
        <v>0</v>
      </c>
      <c r="S49" t="n">
        <v>0</v>
      </c>
      <c r="T49" t="n">
        <v>2</v>
      </c>
      <c r="U49" t="inlineStr">
        <is>
          <t>Yes</t>
        </is>
      </c>
      <c r="V49" t="inlineStr">
        <is>
          <t>No</t>
        </is>
      </c>
    </row>
  </sheetData>
  <dataValidations count="2">
    <dataValidation sqref="U2 U3 U4 U5 U6 U7 U8 U9 U10 U11 U12 U13 U14 U15 U16 U17 U18 U19 U20 U21 U22 U23 U24 U25 U26 U27 U28 U29 U30 U31 U32 U33 U34 U35 U36 U37 U38 U39 U40 U41 U42 U43 U44 U45 U46 U47 U48 U49" showDropDown="0" showInputMessage="0" showErrorMessage="0" allowBlank="0" type="list">
      <formula1>"Yes,No"</formula1>
    </dataValidation>
    <dataValidation sqref="V2 V3 V4 V5 V6 V7 V8 V9 V10 V11 V12 V13 V14 V15 V16 V17 V18 V19 V20 V21 V22 V23 V24 V25 V26 V27 V28 V29 V30 V31 V32 V33 V34 V35 V36 V37 V38 V39 V40 V41 V42 V43 V44 V45 V46 V47 V48 V49" showDropDown="0" showInputMessage="0" showErrorMessage="0" allowBlank="0" type="list">
      <formula1>"Yes,No"</formula1>
    </dataValidation>
  </dataValidations>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pdf_title</t>
        </is>
      </c>
      <c r="B1" t="inlineStr">
        <is>
          <t>pdf_uri</t>
        </is>
      </c>
      <c r="C1" t="inlineStr">
        <is>
          <t>fingerprint</t>
        </is>
      </c>
      <c r="D1" t="inlineStr">
        <is>
          <t>domain_name</t>
        </is>
      </c>
      <c r="E1" t="inlineStr">
        <is>
          <t>violations</t>
        </is>
      </c>
      <c r="F1" t="inlineStr">
        <is>
          <t>failed_checks</t>
        </is>
      </c>
      <c r="G1" t="inlineStr">
        <is>
          <t>tagged</t>
        </is>
      </c>
      <c r="H1" t="inlineStr">
        <is>
          <t>pdf_text_type</t>
        </is>
      </c>
      <c r="I1" t="inlineStr">
        <is>
          <t>title_set</t>
        </is>
      </c>
      <c r="J1" t="inlineStr">
        <is>
          <t>language_set</t>
        </is>
      </c>
      <c r="K1" t="inlineStr">
        <is>
          <t>page_count</t>
        </is>
      </c>
      <c r="L1" t="inlineStr">
        <is>
          <t>has_form</t>
        </is>
      </c>
      <c r="M1" t="inlineStr">
        <is>
          <t>approved_pdf_exporter</t>
        </is>
      </c>
      <c r="N1" t="inlineStr">
        <is>
          <t>link_count</t>
        </is>
      </c>
      <c r="O1" t="inlineStr">
        <is>
          <t>sample_parent_uri</t>
        </is>
      </c>
    </row>
    <row r="2">
      <c r="A2" t="inlineStr">
        <is>
          <t>2025 Annual Security Report</t>
        </is>
      </c>
      <c r="B2" s="1">
        <f>HYPERLINK("https://www.calstatela.edu/sites/default/files/2025%20Annual%20Security%20Report.pdf", "https://www.calstatela.edu/sites/default/files/2025%20Annual%20Security%20Report.pdf")</f>
        <v/>
      </c>
      <c r="C2" t="inlineStr">
        <is>
          <t>d35aba</t>
        </is>
      </c>
      <c r="D2" t="inlineStr">
        <is>
          <t>calstatela.edu_eop</t>
        </is>
      </c>
      <c r="E2" t="n">
        <v>4</v>
      </c>
      <c r="F2" t="n">
        <v>147</v>
      </c>
      <c r="G2" t="inlineStr">
        <is>
          <t>Yes</t>
        </is>
      </c>
      <c r="H2" t="inlineStr">
        <is>
          <t>Text Only</t>
        </is>
      </c>
      <c r="I2" t="n">
        <v>1</v>
      </c>
      <c r="J2" t="n">
        <v>1</v>
      </c>
      <c r="K2" t="n">
        <v>151</v>
      </c>
      <c r="L2" t="inlineStr">
        <is>
          <t>No</t>
        </is>
      </c>
      <c r="M2" t="inlineStr">
        <is>
          <t>No</t>
        </is>
      </c>
      <c r="N2" t="n">
        <v>24</v>
      </c>
      <c r="O2" s="1">
        <f>HYPERLINK("https://www.calstatela.edu/eop", "https://www.calstatela.edu/eop")</f>
        <v/>
      </c>
    </row>
    <row r="3">
      <c r="A3" t="inlineStr">
        <is>
          <t>2026 Campus Safety Plan</t>
        </is>
      </c>
      <c r="B3" s="1">
        <f>HYPERLINK("https://www.calstatela.edu/sites/default/files/2026%20Campus%20Safety%20Plan.pdf", "https://www.calstatela.edu/sites/default/files/2026%20Campus%20Safety%20Plan.pdf")</f>
        <v/>
      </c>
      <c r="C3" t="inlineStr">
        <is>
          <t>69529a</t>
        </is>
      </c>
      <c r="D3" t="inlineStr">
        <is>
          <t>calstatela.edu_eop</t>
        </is>
      </c>
      <c r="E3" t="n">
        <v>2</v>
      </c>
      <c r="F3" t="n">
        <v>4</v>
      </c>
      <c r="G3" t="inlineStr">
        <is>
          <t>Yes</t>
        </is>
      </c>
      <c r="H3" t="inlineStr">
        <is>
          <t>Text Only</t>
        </is>
      </c>
      <c r="I3" t="n">
        <v>1</v>
      </c>
      <c r="J3" t="n">
        <v>1</v>
      </c>
      <c r="K3" t="n">
        <v>5</v>
      </c>
      <c r="L3" t="inlineStr">
        <is>
          <t>No</t>
        </is>
      </c>
      <c r="M3" t="inlineStr">
        <is>
          <t>No</t>
        </is>
      </c>
      <c r="N3" t="n">
        <v>24</v>
      </c>
      <c r="O3" s="1">
        <f>HYPERLINK("https://www.calstatela.edu/eop", "https://www.calstatela.edu/eop")</f>
        <v/>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Q3"/>
  <sheetViews>
    <sheetView workbookViewId="0">
      <selection activeCell="A1" sqref="A1"/>
    </sheetView>
  </sheetViews>
  <sheetFormatPr baseColWidth="8" defaultRowHeight="15"/>
  <sheetData>
    <row r="1">
      <c r="A1" t="inlineStr">
        <is>
          <t>pdf_title</t>
        </is>
      </c>
      <c r="B1" t="inlineStr">
        <is>
          <t>pdf_uri</t>
        </is>
      </c>
      <c r="C1" t="inlineStr">
        <is>
          <t>fingerprint</t>
        </is>
      </c>
      <c r="D1" t="inlineStr">
        <is>
          <t>domain_name</t>
        </is>
      </c>
      <c r="E1" t="inlineStr">
        <is>
          <t>violations</t>
        </is>
      </c>
      <c r="F1" t="inlineStr">
        <is>
          <t>failed_checks</t>
        </is>
      </c>
      <c r="G1" t="inlineStr">
        <is>
          <t>tagged</t>
        </is>
      </c>
      <c r="H1" t="inlineStr">
        <is>
          <t>pdf_text_type</t>
        </is>
      </c>
      <c r="I1" t="inlineStr">
        <is>
          <t>title_set</t>
        </is>
      </c>
      <c r="J1" t="inlineStr">
        <is>
          <t>language_set</t>
        </is>
      </c>
      <c r="K1" t="inlineStr">
        <is>
          <t>page_count</t>
        </is>
      </c>
      <c r="L1" t="inlineStr">
        <is>
          <t>has_form</t>
        </is>
      </c>
      <c r="M1" t="inlineStr">
        <is>
          <t>approved_pdf_exporter</t>
        </is>
      </c>
      <c r="N1" t="inlineStr">
        <is>
          <t>total_occurrences</t>
        </is>
      </c>
      <c r="O1" t="inlineStr">
        <is>
          <t>unique_parent_count</t>
        </is>
      </c>
      <c r="P1" t="inlineStr">
        <is>
          <t>sample_parent_uri</t>
        </is>
      </c>
      <c r="Q1" t="inlineStr">
        <is>
          <t>sample_parent_uris</t>
        </is>
      </c>
    </row>
    <row r="2">
      <c r="A2" t="inlineStr">
        <is>
          <t>2025 Annual Security Report</t>
        </is>
      </c>
      <c r="B2" s="1">
        <f>HYPERLINK("https://www.calstatela.edu/sites/default/files/2025%20Annual%20Security%20Report.pdf", "https://www.calstatela.edu/sites/default/files/2025%20Annual%20Security%20Report.pdf")</f>
        <v/>
      </c>
      <c r="C2" t="inlineStr">
        <is>
          <t>d35aba</t>
        </is>
      </c>
      <c r="D2" t="inlineStr">
        <is>
          <t>calstatela.edu_eop</t>
        </is>
      </c>
      <c r="E2" t="n">
        <v>4</v>
      </c>
      <c r="F2" t="n">
        <v>147</v>
      </c>
      <c r="G2" t="inlineStr">
        <is>
          <t>Yes</t>
        </is>
      </c>
      <c r="H2" t="inlineStr">
        <is>
          <t>Text Only</t>
        </is>
      </c>
      <c r="I2" t="n">
        <v>1</v>
      </c>
      <c r="J2" t="n">
        <v>1</v>
      </c>
      <c r="K2" t="n">
        <v>151</v>
      </c>
      <c r="L2" t="inlineStr">
        <is>
          <t>No</t>
        </is>
      </c>
      <c r="M2" t="inlineStr">
        <is>
          <t>No</t>
        </is>
      </c>
      <c r="N2" t="n">
        <v>24</v>
      </c>
      <c r="O2" t="n">
        <v>24</v>
      </c>
      <c r="P2" s="1">
        <f>HYPERLINK("https://www.calstatela.edu/eop", "https://www.calstatela.edu/eop")</f>
        <v/>
      </c>
      <c r="Q2" s="2" t="inlineStr">
        <is>
          <t>https://www.calstatela.edu/eop
https://www.calstatela.edu/eop/connect-us
https://www.calstatela.edu/eop/coping-college-stress
https://www.calstatela.edu/eop/create-effective-study-guides-idea-method-study-smarter-not-harder
https://www.calstatela.edu/eop/current-eop-students
https://www.calstatela.edu/eop/discover-your-learning-style-learn-how-you-learn-best
https://www.calstatela.edu/eop/drop-peer-advising
https://www.calstatela.edu/eop/eop-admissions-0
https://www.calstatela.edu/eop/eop-calfresh-certification
https://www.calstatela.edu/eop/eop-income-guidelines</t>
        </is>
      </c>
    </row>
    <row r="3">
      <c r="A3" t="inlineStr">
        <is>
          <t>2026 Campus Safety Plan</t>
        </is>
      </c>
      <c r="B3" s="1">
        <f>HYPERLINK("https://www.calstatela.edu/sites/default/files/2026%20Campus%20Safety%20Plan.pdf", "https://www.calstatela.edu/sites/default/files/2026%20Campus%20Safety%20Plan.pdf")</f>
        <v/>
      </c>
      <c r="C3" t="inlineStr">
        <is>
          <t>69529a</t>
        </is>
      </c>
      <c r="D3" t="inlineStr">
        <is>
          <t>calstatela.edu_eop</t>
        </is>
      </c>
      <c r="E3" t="n">
        <v>2</v>
      </c>
      <c r="F3" t="n">
        <v>4</v>
      </c>
      <c r="G3" t="inlineStr">
        <is>
          <t>Yes</t>
        </is>
      </c>
      <c r="H3" t="inlineStr">
        <is>
          <t>Text Only</t>
        </is>
      </c>
      <c r="I3" t="n">
        <v>1</v>
      </c>
      <c r="J3" t="n">
        <v>1</v>
      </c>
      <c r="K3" t="n">
        <v>5</v>
      </c>
      <c r="L3" t="inlineStr">
        <is>
          <t>No</t>
        </is>
      </c>
      <c r="M3" t="inlineStr">
        <is>
          <t>No</t>
        </is>
      </c>
      <c r="N3" t="n">
        <v>24</v>
      </c>
      <c r="O3" t="n">
        <v>24</v>
      </c>
      <c r="P3" s="1">
        <f>HYPERLINK("https://www.calstatela.edu/eop", "https://www.calstatela.edu/eop")</f>
        <v/>
      </c>
      <c r="Q3" s="2" t="inlineStr">
        <is>
          <t>https://www.calstatela.edu/eop
https://www.calstatela.edu/eop/connect-us
https://www.calstatela.edu/eop/coping-college-stress
https://www.calstatela.edu/eop/create-effective-study-guides-idea-method-study-smarter-not-harder
https://www.calstatela.edu/eop/current-eop-students
https://www.calstatela.edu/eop/discover-your-learning-style-learn-how-you-learn-best
https://www.calstatela.edu/eop/drop-peer-advising
https://www.calstatela.edu/eop/eop-admissions-0
https://www.calstatela.edu/eop/eop-calfresh-certification
https://www.calstatela.edu/eop/eop-income-guidelines</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sheetData>
    <row r="1">
      <c r="A1" t="inlineStr">
        <is>
          <t>parent_uri</t>
        </is>
      </c>
      <c r="B1" t="inlineStr">
        <is>
          <t>domain_name</t>
        </is>
      </c>
      <c r="C1" t="inlineStr">
        <is>
          <t>total_pdf_occurrences</t>
        </is>
      </c>
      <c r="D1" t="inlineStr">
        <is>
          <t>unique_pdf_count</t>
        </is>
      </c>
      <c r="E1" t="inlineStr">
        <is>
          <t>high_priority_unique_count</t>
        </is>
      </c>
      <c r="F1" t="inlineStr">
        <is>
          <t>sample_pdf_uri</t>
        </is>
      </c>
      <c r="G1" t="inlineStr">
        <is>
          <t>sample_pdf_uris</t>
        </is>
      </c>
    </row>
    <row r="2">
      <c r="A2" s="1">
        <f>HYPERLINK("https://www.calstatela.edu/eop", "https://www.calstatela.edu/eop")</f>
        <v/>
      </c>
      <c r="B2" t="inlineStr">
        <is>
          <t>calstatela.edu_eop</t>
        </is>
      </c>
      <c r="C2" t="n">
        <v>2</v>
      </c>
      <c r="D2" t="n">
        <v>2</v>
      </c>
      <c r="E2" t="n">
        <v>0</v>
      </c>
      <c r="F2" s="1">
        <f>HYPERLINK("https://www.calstatela.edu/sites/default/files/2025%20Annual%20Security%20Report.pdf", "https://www.calstatela.edu/sites/default/files/2025%20Annual%20Security%20Report.pdf")</f>
        <v/>
      </c>
      <c r="G2" s="2" t="inlineStr">
        <is>
          <t>https://www.calstatela.edu/sites/default/files/2025%20Annual%20Security%20Report.pdf
https://www.calstatela.edu/sites/default/files/2026%20Campus%20Safety%20Plan.pdf</t>
        </is>
      </c>
    </row>
    <row r="3">
      <c r="A3" s="1">
        <f>HYPERLINK("https://www.calstatela.edu/eop/send-documents-eop", "https://www.calstatela.edu/eop/send-documents-eop")</f>
        <v/>
      </c>
      <c r="B3" t="inlineStr">
        <is>
          <t>calstatela.edu_eop</t>
        </is>
      </c>
      <c r="C3" t="n">
        <v>2</v>
      </c>
      <c r="D3" t="n">
        <v>2</v>
      </c>
      <c r="E3" t="n">
        <v>0</v>
      </c>
      <c r="F3" s="1">
        <f>HYPERLINK("https://www.calstatela.edu/sites/default/files/2025%20Annual%20Security%20Report.pdf", "https://www.calstatela.edu/sites/default/files/2025%20Annual%20Security%20Report.pdf")</f>
        <v/>
      </c>
      <c r="G3" s="2" t="inlineStr">
        <is>
          <t>https://www.calstatela.edu/sites/default/files/2025%20Annual%20Security%20Report.pdf
https://www.calstatela.edu/sites/default/files/2026%20Campus%20Safety%20Plan.pdf</t>
        </is>
      </c>
    </row>
    <row r="4">
      <c r="A4" s="1">
        <f>HYPERLINK("https://www.calstatela.edu/eop/connect-us", "https://www.calstatela.edu/eop/connect-us")</f>
        <v/>
      </c>
      <c r="B4" t="inlineStr">
        <is>
          <t>calstatela.edu_eop</t>
        </is>
      </c>
      <c r="C4" t="n">
        <v>2</v>
      </c>
      <c r="D4" t="n">
        <v>2</v>
      </c>
      <c r="E4" t="n">
        <v>0</v>
      </c>
      <c r="F4" s="1">
        <f>HYPERLINK("https://www.calstatela.edu/sites/default/files/2025%20Annual%20Security%20Report.pdf", "https://www.calstatela.edu/sites/default/files/2025%20Annual%20Security%20Report.pdf")</f>
        <v/>
      </c>
      <c r="G4" s="2" t="inlineStr">
        <is>
          <t>https://www.calstatela.edu/sites/default/files/2025%20Annual%20Security%20Report.pdf
https://www.calstatela.edu/sites/default/files/2026%20Campus%20Safety%20Plan.pdf</t>
        </is>
      </c>
    </row>
    <row r="5">
      <c r="A5" s="1">
        <f>HYPERLINK("https://www.calstatela.edu/eop/virtual-or-person-eop-presentation-request-form", "https://www.calstatela.edu/eop/virtual-or-person-eop-presentation-request-form")</f>
        <v/>
      </c>
      <c r="B5" t="inlineStr">
        <is>
          <t>calstatela.edu_eop</t>
        </is>
      </c>
      <c r="C5" t="n">
        <v>2</v>
      </c>
      <c r="D5" t="n">
        <v>2</v>
      </c>
      <c r="E5" t="n">
        <v>0</v>
      </c>
      <c r="F5" s="1">
        <f>HYPERLINK("https://www.calstatela.edu/sites/default/files/2025%20Annual%20Security%20Report.pdf", "https://www.calstatela.edu/sites/default/files/2025%20Annual%20Security%20Report.pdf")</f>
        <v/>
      </c>
      <c r="G5" s="2" t="inlineStr">
        <is>
          <t>https://www.calstatela.edu/sites/default/files/2025%20Annual%20Security%20Report.pdf
https://www.calstatela.edu/sites/default/files/2026%20Campus%20Safety%20Plan.pdf</t>
        </is>
      </c>
    </row>
    <row r="6">
      <c r="A6" s="1">
        <f>HYPERLINK("https://www.calstatela.edu/eop/meet-team", "https://www.calstatela.edu/eop/meet-team")</f>
        <v/>
      </c>
      <c r="B6" t="inlineStr">
        <is>
          <t>calstatela.edu_eop</t>
        </is>
      </c>
      <c r="C6" t="n">
        <v>2</v>
      </c>
      <c r="D6" t="n">
        <v>2</v>
      </c>
      <c r="E6" t="n">
        <v>0</v>
      </c>
      <c r="F6" s="1">
        <f>HYPERLINK("https://www.calstatela.edu/sites/default/files/2025%20Annual%20Security%20Report.pdf", "https://www.calstatela.edu/sites/default/files/2025%20Annual%20Security%20Report.pdf")</f>
        <v/>
      </c>
      <c r="G6" s="2" t="inlineStr">
        <is>
          <t>https://www.calstatela.edu/sites/default/files/2025%20Annual%20Security%20Report.pdf
https://www.calstatela.edu/sites/default/files/2026%20Campus%20Safety%20Plan.pdf</t>
        </is>
      </c>
    </row>
    <row r="7">
      <c r="A7" s="1">
        <f>HYPERLINK("https://www.calstatela.edu/eop/fall-2025-enrichment-activities", "https://www.calstatela.edu/eop/fall-2025-enrichment-activities")</f>
        <v/>
      </c>
      <c r="B7" t="inlineStr">
        <is>
          <t>calstatela.edu_eop</t>
        </is>
      </c>
      <c r="C7" t="n">
        <v>2</v>
      </c>
      <c r="D7" t="n">
        <v>2</v>
      </c>
      <c r="E7" t="n">
        <v>0</v>
      </c>
      <c r="F7" s="1">
        <f>HYPERLINK("https://www.calstatela.edu/sites/default/files/2025%20Annual%20Security%20Report.pdf", "https://www.calstatela.edu/sites/default/files/2025%20Annual%20Security%20Report.pdf")</f>
        <v/>
      </c>
      <c r="G7" s="2" t="inlineStr">
        <is>
          <t>https://www.calstatela.edu/sites/default/files/2025%20Annual%20Security%20Report.pdf
https://www.calstatela.edu/sites/default/files/2026%20Campus%20Safety%20Plan.pdf</t>
        </is>
      </c>
    </row>
    <row r="8">
      <c r="A8" s="1">
        <f>HYPERLINK("https://www.calstatela.edu/eop/current-eop-students", "https://www.calstatela.edu/eop/current-eop-students")</f>
        <v/>
      </c>
      <c r="B8" t="inlineStr">
        <is>
          <t>calstatela.edu_eop</t>
        </is>
      </c>
      <c r="C8" t="n">
        <v>2</v>
      </c>
      <c r="D8" t="n">
        <v>2</v>
      </c>
      <c r="E8" t="n">
        <v>0</v>
      </c>
      <c r="F8" s="1">
        <f>HYPERLINK("https://www.calstatela.edu/sites/default/files/2025%20Annual%20Security%20Report.pdf", "https://www.calstatela.edu/sites/default/files/2025%20Annual%20Security%20Report.pdf")</f>
        <v/>
      </c>
      <c r="G8" s="2" t="inlineStr">
        <is>
          <t>https://www.calstatela.edu/sites/default/files/2025%20Annual%20Security%20Report.pdf
https://www.calstatela.edu/sites/default/files/2026%20Campus%20Safety%20Plan.pdf</t>
        </is>
      </c>
    </row>
    <row r="9">
      <c r="A9" s="1">
        <f>HYPERLINK("https://www.calstatela.edu/eop/summer-programs", "https://www.calstatela.edu/eop/summer-programs")</f>
        <v/>
      </c>
      <c r="B9" t="inlineStr">
        <is>
          <t>calstatela.edu_eop</t>
        </is>
      </c>
      <c r="C9" t="n">
        <v>2</v>
      </c>
      <c r="D9" t="n">
        <v>2</v>
      </c>
      <c r="E9" t="n">
        <v>0</v>
      </c>
      <c r="F9" s="1">
        <f>HYPERLINK("https://www.calstatela.edu/sites/default/files/2025%20Annual%20Security%20Report.pdf", "https://www.calstatela.edu/sites/default/files/2025%20Annual%20Security%20Report.pdf")</f>
        <v/>
      </c>
      <c r="G9" s="2" t="inlineStr">
        <is>
          <t>https://www.calstatela.edu/sites/default/files/2025%20Annual%20Security%20Report.pdf
https://www.calstatela.edu/sites/default/files/2026%20Campus%20Safety%20Plan.pdf</t>
        </is>
      </c>
    </row>
    <row r="10">
      <c r="A10" s="1">
        <f>HYPERLINK("https://www.calstatela.edu/eop/eop-admissions-0", "https://www.calstatela.edu/eop/eop-admissions-0")</f>
        <v/>
      </c>
      <c r="B10" t="inlineStr">
        <is>
          <t>calstatela.edu_eop</t>
        </is>
      </c>
      <c r="C10" t="n">
        <v>2</v>
      </c>
      <c r="D10" t="n">
        <v>2</v>
      </c>
      <c r="E10" t="n">
        <v>0</v>
      </c>
      <c r="F10" s="1">
        <f>HYPERLINK("https://www.calstatela.edu/sites/default/files/2025%20Annual%20Security%20Report.pdf", "https://www.calstatela.edu/sites/default/files/2025%20Annual%20Security%20Report.pdf")</f>
        <v/>
      </c>
      <c r="G10" s="2" t="inlineStr">
        <is>
          <t>https://www.calstatela.edu/sites/default/files/2025%20Annual%20Security%20Report.pdf
https://www.calstatela.edu/sites/default/files/2026%20Campus%20Safety%20Plan.pdf</t>
        </is>
      </c>
    </row>
    <row r="11">
      <c r="A11" s="1">
        <f>HYPERLINK("https://www.calstatela.edu/eop/coping-college-stress", "https://www.calstatela.edu/eop/coping-college-stress")</f>
        <v/>
      </c>
      <c r="B11" t="inlineStr">
        <is>
          <t>calstatela.edu_eop</t>
        </is>
      </c>
      <c r="C11" t="n">
        <v>2</v>
      </c>
      <c r="D11" t="n">
        <v>2</v>
      </c>
      <c r="E11" t="n">
        <v>0</v>
      </c>
      <c r="F11" s="1">
        <f>HYPERLINK("https://www.calstatela.edu/sites/default/files/2025%20Annual%20Security%20Report.pdf", "https://www.calstatela.edu/sites/default/files/2025%20Annual%20Security%20Report.pdf")</f>
        <v/>
      </c>
      <c r="G11" s="2" t="inlineStr">
        <is>
          <t>https://www.calstatela.edu/sites/default/files/2025%20Annual%20Security%20Report.pdf
https://www.calstatela.edu/sites/default/files/2026%20Campus%20Safety%20Plan.pdf</t>
        </is>
      </c>
    </row>
    <row r="12">
      <c r="A12" s="1">
        <f>HYPERLINK("https://www.calstatela.edu/eop/eop-students-building-confidence-when-experiencing-impostor-syndrome", "https://www.calstatela.edu/eop/eop-students-building-confidence-when-experiencing-impostor-syndrome")</f>
        <v/>
      </c>
      <c r="B12" t="inlineStr">
        <is>
          <t>calstatela.edu_eop</t>
        </is>
      </c>
      <c r="C12" t="n">
        <v>2</v>
      </c>
      <c r="D12" t="n">
        <v>2</v>
      </c>
      <c r="E12" t="n">
        <v>0</v>
      </c>
      <c r="F12" s="1">
        <f>HYPERLINK("https://www.calstatela.edu/sites/default/files/2025%20Annual%20Security%20Report.pdf", "https://www.calstatela.edu/sites/default/files/2025%20Annual%20Security%20Report.pdf")</f>
        <v/>
      </c>
      <c r="G12" s="2" t="inlineStr">
        <is>
          <t>https://www.calstatela.edu/sites/default/files/2025%20Annual%20Security%20Report.pdf
https://www.calstatela.edu/sites/default/files/2026%20Campus%20Safety%20Plan.pdf</t>
        </is>
      </c>
    </row>
    <row r="13">
      <c r="A13" s="1">
        <f>HYPERLINK("https://www.calstatela.edu/eop/strategic-use-time-unlock-your-full-potential", "https://www.calstatela.edu/eop/strategic-use-time-unlock-your-full-potential")</f>
        <v/>
      </c>
      <c r="B13" t="inlineStr">
        <is>
          <t>calstatela.edu_eop</t>
        </is>
      </c>
      <c r="C13" t="n">
        <v>2</v>
      </c>
      <c r="D13" t="n">
        <v>2</v>
      </c>
      <c r="E13" t="n">
        <v>0</v>
      </c>
      <c r="F13" s="1">
        <f>HYPERLINK("https://www.calstatela.edu/sites/default/files/2025%20Annual%20Security%20Report.pdf", "https://www.calstatela.edu/sites/default/files/2025%20Annual%20Security%20Report.pdf")</f>
        <v/>
      </c>
      <c r="G13" s="2" t="inlineStr">
        <is>
          <t>https://www.calstatela.edu/sites/default/files/2025%20Annual%20Security%20Report.pdf
https://www.calstatela.edu/sites/default/files/2026%20Campus%20Safety%20Plan.pdf</t>
        </is>
      </c>
    </row>
    <row r="14">
      <c r="A14" s="1">
        <f>HYPERLINK("https://www.calstatela.edu/eop/create-effective-study-guides-idea-method-study-smarter-not-harder", "https://www.calstatela.edu/eop/create-effective-study-guides-idea-method-study-smarter-not-harder")</f>
        <v/>
      </c>
      <c r="B14" t="inlineStr">
        <is>
          <t>calstatela.edu_eop</t>
        </is>
      </c>
      <c r="C14" t="n">
        <v>2</v>
      </c>
      <c r="D14" t="n">
        <v>2</v>
      </c>
      <c r="E14" t="n">
        <v>0</v>
      </c>
      <c r="F14" s="1">
        <f>HYPERLINK("https://www.calstatela.edu/sites/default/files/2025%20Annual%20Security%20Report.pdf", "https://www.calstatela.edu/sites/default/files/2025%20Annual%20Security%20Report.pdf")</f>
        <v/>
      </c>
      <c r="G14" s="2" t="inlineStr">
        <is>
          <t>https://www.calstatela.edu/sites/default/files/2025%20Annual%20Security%20Report.pdf
https://www.calstatela.edu/sites/default/files/2026%20Campus%20Safety%20Plan.pdf</t>
        </is>
      </c>
    </row>
    <row r="15">
      <c r="A15" s="1">
        <f>HYPERLINK("https://www.calstatela.edu/eop/discover-your-learning-style-learn-how-you-learn-best", "https://www.calstatela.edu/eop/discover-your-learning-style-learn-how-you-learn-best")</f>
        <v/>
      </c>
      <c r="B15" t="inlineStr">
        <is>
          <t>calstatela.edu_eop</t>
        </is>
      </c>
      <c r="C15" t="n">
        <v>2</v>
      </c>
      <c r="D15" t="n">
        <v>2</v>
      </c>
      <c r="E15" t="n">
        <v>0</v>
      </c>
      <c r="F15" s="1">
        <f>HYPERLINK("https://www.calstatela.edu/sites/default/files/2025%20Annual%20Security%20Report.pdf", "https://www.calstatela.edu/sites/default/files/2025%20Annual%20Security%20Report.pdf")</f>
        <v/>
      </c>
      <c r="G15" s="2" t="inlineStr">
        <is>
          <t>https://www.calstatela.edu/sites/default/files/2025%20Annual%20Security%20Report.pdf
https://www.calstatela.edu/sites/default/files/2026%20Campus%20Safety%20Plan.pdf</t>
        </is>
      </c>
    </row>
    <row r="16">
      <c r="A16" s="1">
        <f>HYPERLINK("https://www.calstatela.edu/eop/latinx/hispanic-heritage-month-celebration", "https://www.calstatela.edu/eop/latinx/hispanic-heritage-month-celebration")</f>
        <v/>
      </c>
      <c r="B16" t="inlineStr">
        <is>
          <t>calstatela.edu_eop</t>
        </is>
      </c>
      <c r="C16" t="n">
        <v>2</v>
      </c>
      <c r="D16" t="n">
        <v>2</v>
      </c>
      <c r="E16" t="n">
        <v>0</v>
      </c>
      <c r="F16" s="1">
        <f>HYPERLINK("https://www.calstatela.edu/sites/default/files/2025%20Annual%20Security%20Report.pdf", "https://www.calstatela.edu/sites/default/files/2025%20Annual%20Security%20Report.pdf")</f>
        <v/>
      </c>
      <c r="G16" s="2" t="inlineStr">
        <is>
          <t>https://www.calstatela.edu/sites/default/files/2025%20Annual%20Security%20Report.pdf
https://www.calstatela.edu/sites/default/files/2026%20Campus%20Safety%20Plan.pdf</t>
        </is>
      </c>
    </row>
    <row r="17">
      <c r="A17" s="1">
        <f>HYPERLINK("https://www.calstatela.edu/eop/open-house-kick-eop-history-month", "https://www.calstatela.edu/eop/open-house-kick-eop-history-month")</f>
        <v/>
      </c>
      <c r="B17" t="inlineStr">
        <is>
          <t>calstatela.edu_eop</t>
        </is>
      </c>
      <c r="C17" t="n">
        <v>2</v>
      </c>
      <c r="D17" t="n">
        <v>2</v>
      </c>
      <c r="E17" t="n">
        <v>0</v>
      </c>
      <c r="F17" s="1">
        <f>HYPERLINK("https://www.calstatela.edu/sites/default/files/2025%20Annual%20Security%20Report.pdf", "https://www.calstatela.edu/sites/default/files/2025%20Annual%20Security%20Report.pdf")</f>
        <v/>
      </c>
      <c r="G17" s="2" t="inlineStr">
        <is>
          <t>https://www.calstatela.edu/sites/default/files/2025%20Annual%20Security%20Report.pdf
https://www.calstatela.edu/sites/default/files/2026%20Campus%20Safety%20Plan.pdf</t>
        </is>
      </c>
    </row>
    <row r="18">
      <c r="A18" s="1">
        <f>HYPERLINK("https://www.calstatela.edu/eop/fall-enrichment-activity-attendance-form", "https://www.calstatela.edu/eop/fall-enrichment-activity-attendance-form")</f>
        <v/>
      </c>
      <c r="B18" t="inlineStr">
        <is>
          <t>calstatela.edu_eop</t>
        </is>
      </c>
      <c r="C18" t="n">
        <v>2</v>
      </c>
      <c r="D18" t="n">
        <v>2</v>
      </c>
      <c r="E18" t="n">
        <v>0</v>
      </c>
      <c r="F18" s="1">
        <f>HYPERLINK("https://www.calstatela.edu/sites/default/files/2025%20Annual%20Security%20Report.pdf", "https://www.calstatela.edu/sites/default/files/2025%20Annual%20Security%20Report.pdf")</f>
        <v/>
      </c>
      <c r="G18" s="2" t="inlineStr">
        <is>
          <t>https://www.calstatela.edu/sites/default/files/2025%20Annual%20Security%20Report.pdf
https://www.calstatela.edu/sites/default/files/2026%20Campus%20Safety%20Plan.pdf</t>
        </is>
      </c>
    </row>
    <row r="19">
      <c r="A19" s="1">
        <f>HYPERLINK("https://www.calstatela.edu/eop/eop-calfresh-certification", "https://www.calstatela.edu/eop/eop-calfresh-certification")</f>
        <v/>
      </c>
      <c r="B19" t="inlineStr">
        <is>
          <t>calstatela.edu_eop</t>
        </is>
      </c>
      <c r="C19" t="n">
        <v>2</v>
      </c>
      <c r="D19" t="n">
        <v>2</v>
      </c>
      <c r="E19" t="n">
        <v>0</v>
      </c>
      <c r="F19" s="1">
        <f>HYPERLINK("https://www.calstatela.edu/sites/default/files/2025%20Annual%20Security%20Report.pdf", "https://www.calstatela.edu/sites/default/files/2025%20Annual%20Security%20Report.pdf")</f>
        <v/>
      </c>
      <c r="G19" s="2" t="inlineStr">
        <is>
          <t>https://www.calstatela.edu/sites/default/files/2025%20Annual%20Security%20Report.pdf
https://www.calstatela.edu/sites/default/files/2026%20Campus%20Safety%20Plan.pdf</t>
        </is>
      </c>
    </row>
    <row r="20">
      <c r="A20" s="1">
        <f>HYPERLINK("https://www.calstatela.edu/eop/drop-peer-advising", "https://www.calstatela.edu/eop/drop-peer-advising")</f>
        <v/>
      </c>
      <c r="B20" t="inlineStr">
        <is>
          <t>calstatela.edu_eop</t>
        </is>
      </c>
      <c r="C20" t="n">
        <v>2</v>
      </c>
      <c r="D20" t="n">
        <v>2</v>
      </c>
      <c r="E20" t="n">
        <v>0</v>
      </c>
      <c r="F20" s="1">
        <f>HYPERLINK("https://www.calstatela.edu/sites/default/files/2025%20Annual%20Security%20Report.pdf", "https://www.calstatela.edu/sites/default/files/2025%20Annual%20Security%20Report.pdf")</f>
        <v/>
      </c>
      <c r="G20" s="2" t="inlineStr">
        <is>
          <t>https://www.calstatela.edu/sites/default/files/2025%20Annual%20Security%20Report.pdf
https://www.calstatela.edu/sites/default/files/2026%20Campus%20Safety%20Plan.pdf</t>
        </is>
      </c>
    </row>
    <row r="21">
      <c r="A21" s="1">
        <f>HYPERLINK("https://www.calstatela.edu/eop/spring-enrichment-activity-attendance-form", "https://www.calstatela.edu/eop/spring-enrichment-activity-attendance-form")</f>
        <v/>
      </c>
      <c r="B21" t="inlineStr">
        <is>
          <t>calstatela.edu_eop</t>
        </is>
      </c>
      <c r="C21" t="n">
        <v>2</v>
      </c>
      <c r="D21" t="n">
        <v>2</v>
      </c>
      <c r="E21" t="n">
        <v>0</v>
      </c>
      <c r="F21" s="1">
        <f>HYPERLINK("https://www.calstatela.edu/sites/default/files/2025%20Annual%20Security%20Report.pdf", "https://www.calstatela.edu/sites/default/files/2025%20Annual%20Security%20Report.pdf")</f>
        <v/>
      </c>
      <c r="G21" s="2" t="inlineStr">
        <is>
          <t>https://www.calstatela.edu/sites/default/files/2025%20Annual%20Security%20Report.pdf
https://www.calstatela.edu/sites/default/files/2026%20Campus%20Safety%20Plan.pdf</t>
        </is>
      </c>
    </row>
    <row r="22">
      <c r="A22" s="1">
        <f>HYPERLINK("https://www.calstatela.edu/eop/important-dates-and-deadlines", "https://www.calstatela.edu/eop/important-dates-and-deadlines")</f>
        <v/>
      </c>
      <c r="B22" t="inlineStr">
        <is>
          <t>calstatela.edu_eop</t>
        </is>
      </c>
      <c r="C22" t="n">
        <v>2</v>
      </c>
      <c r="D22" t="n">
        <v>2</v>
      </c>
      <c r="E22" t="n">
        <v>0</v>
      </c>
      <c r="F22" s="1">
        <f>HYPERLINK("https://www.calstatela.edu/sites/default/files/2025%20Annual%20Security%20Report.pdf", "https://www.calstatela.edu/sites/default/files/2025%20Annual%20Security%20Report.pdf")</f>
        <v/>
      </c>
      <c r="G22" s="2" t="inlineStr">
        <is>
          <t>https://www.calstatela.edu/sites/default/files/2025%20Annual%20Security%20Report.pdf
https://www.calstatela.edu/sites/default/files/2026%20Campus%20Safety%20Plan.pdf</t>
        </is>
      </c>
    </row>
    <row r="23">
      <c r="A23" s="1">
        <f>HYPERLINK("https://www.calstatela.edu/eop/important-dates-summer-bridge", "https://www.calstatela.edu/eop/important-dates-summer-bridge")</f>
        <v/>
      </c>
      <c r="B23" t="inlineStr">
        <is>
          <t>calstatela.edu_eop</t>
        </is>
      </c>
      <c r="C23" t="n">
        <v>2</v>
      </c>
      <c r="D23" t="n">
        <v>2</v>
      </c>
      <c r="E23" t="n">
        <v>0</v>
      </c>
      <c r="F23" s="1">
        <f>HYPERLINK("https://www.calstatela.edu/sites/default/files/2025%20Annual%20Security%20Report.pdf", "https://www.calstatela.edu/sites/default/files/2025%20Annual%20Security%20Report.pdf")</f>
        <v/>
      </c>
      <c r="G23" s="2" t="inlineStr">
        <is>
          <t>https://www.calstatela.edu/sites/default/files/2025%20Annual%20Security%20Report.pdf
https://www.calstatela.edu/sites/default/files/2026%20Campus%20Safety%20Plan.pdf</t>
        </is>
      </c>
    </row>
    <row r="24">
      <c r="A24" s="1">
        <f>HYPERLINK("https://www.calstatela.edu/eop/eop-income-guidelines", "https://www.calstatela.edu/eop/eop-income-guidelines")</f>
        <v/>
      </c>
      <c r="B24" t="inlineStr">
        <is>
          <t>calstatela.edu_eop</t>
        </is>
      </c>
      <c r="C24" t="n">
        <v>2</v>
      </c>
      <c r="D24" t="n">
        <v>2</v>
      </c>
      <c r="E24" t="n">
        <v>0</v>
      </c>
      <c r="F24" s="1">
        <f>HYPERLINK("https://www.calstatela.edu/sites/default/files/2025%20Annual%20Security%20Report.pdf", "https://www.calstatela.edu/sites/default/files/2025%20Annual%20Security%20Report.pdf")</f>
        <v/>
      </c>
      <c r="G24" s="2" t="inlineStr">
        <is>
          <t>https://www.calstatela.edu/sites/default/files/2025%20Annual%20Security%20Report.pdf
https://www.calstatela.edu/sites/default/files/2026%20Campus%20Safety%20Plan.pdf</t>
        </is>
      </c>
    </row>
    <row r="25">
      <c r="A25" s="1">
        <f>HYPERLINK("https://www.calstatela.edu/eop/how-register-classes", "https://www.calstatela.edu/eop/how-register-classes")</f>
        <v/>
      </c>
      <c r="B25" t="inlineStr">
        <is>
          <t>calstatela.edu_eop</t>
        </is>
      </c>
      <c r="C25" t="n">
        <v>2</v>
      </c>
      <c r="D25" t="n">
        <v>2</v>
      </c>
      <c r="E25" t="n">
        <v>0</v>
      </c>
      <c r="F25" s="1">
        <f>HYPERLINK("https://www.calstatela.edu/sites/default/files/2025%20Annual%20Security%20Report.pdf", "https://www.calstatela.edu/sites/default/files/2025%20Annual%20Security%20Report.pdf")</f>
        <v/>
      </c>
      <c r="G25" s="2" t="inlineStr">
        <is>
          <t>https://www.calstatela.edu/sites/default/files/2025%20Annual%20Security%20Report.pdf
https://www.calstatela.edu/sites/default/files/2026%20Campus%20Safety%20Plan.pdf</t>
        </is>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cols>
    <col width="120" customWidth="1" min="1" max="1"/>
  </cols>
  <sheetData>
    <row r="1" ht="300" customHeight="1">
      <c r="A1" s="3" t="inlineStr">
        <is>
          <t xml:space="preserve">Important Instructions:
1) Please review PDF accessibility requirements at: https://www.calstatela.edu/accessibility
2) Cal State LA will provide access to PDF remediation tools for all employees.
3) Please update the Priority column if a PDF meets the requirements for low priority. Only focus on RED highlights.
4) Pay Attention to the 'fingerprint' column. This is the unique identifier for each PDF. There may be duplicates on your domain.
   Tip: If the same PDF appears on many pages (header/footer navigation), use the 'Unique PDFs' or 'Grouped by PDF URL' sheet to view it once.
   To view PDFs grouped by page/section, use the 'Grouped by Parent URL' sheet.
5) If you need assistance with PDF remediation, please contact:
   Email: accessibility@calstatela.edu | Phone: 323-343-6170 (ITS Help Desk)
6) These scans only look at files hosted on drupal or box, if you feel files are missing please let us know and we can run a new scan.
7) For questions, training, or feedback, contact: accessibility@calstatela.edu
</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2026-02-05T20:25:13Z</dcterms:created>
  <dcterms:modified xmlns:dcterms="http://purl.org/dc/terms/" xmlns:xsi="http://www.w3.org/2001/XMLSchema-instance" xsi:type="dcterms:W3CDTF">2026-02-05T20:25:13Z</dcterms:modified>
</cp:coreProperties>
</file>